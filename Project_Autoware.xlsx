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ContentType="application/vnd.openxmlformats-officedocument.drawingml.chart+xml" PartName="/xl/charts/chart1.xml"/>
  <Override PartName="/xl/drawings/drawing1.xml" ContentType="application/vnd.openxmlformats-officedocument.drawing+xml"/>
  <Override PartName="/xl/slicerCaches/slicerCache1.xml" ContentType="application/vnd.ms-excel.slicerCache+xml"/>
  <Override PartName="/xl/slicers/slicer1.xml" ContentType="application/vnd.ms-excel.slicer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sets" r:id="rId1" sheetId="1"/>
    <sheet name="KPI" r:id="rId2" sheetId="2"/>
    <sheet name="Vendor" r:id="rId3" sheetId="3"/>
    <sheet name="Visual" r:id="rId5" sheetId="4"/>
  </sheets>
  <definedNames>
    <definedName name="slicerCache1">#N/A</definedName>
  </definedNames>
  <pivotCaches>
    <pivotCache cacheId="1" r:id="rId4"/>
  </pivotCaches>
  <extLst>
    <ext xmlns:x14="http://schemas.microsoft.com/office/spreadsheetml/2009/9/main" uri="{BBE1A952-AA13-448e-AADC-164F8A28A991}">
      <x14:slicerCaches>
        <x14:slicerCache r:id="rId6"/>
      </x14:slicerCaches>
    </ext>
  </extLst>
</workbook>
</file>

<file path=xl/sharedStrings.xml><?xml version="1.0" encoding="utf-8"?>
<sst xmlns="http://schemas.openxmlformats.org/spreadsheetml/2006/main" count="168" uniqueCount="168">
  <si>
    <t>po_id</t>
  </si>
  <si>
    <t>vendor_id</t>
  </si>
  <si>
    <t>material_id</t>
  </si>
  <si>
    <t>order_date</t>
  </si>
  <si>
    <t>quantity</t>
  </si>
  <si>
    <t>unit_price</t>
  </si>
  <si>
    <t>currency</t>
  </si>
  <si>
    <t>vendor_name</t>
  </si>
  <si>
    <t>country_name</t>
  </si>
  <si>
    <t>ratings</t>
  </si>
  <si>
    <t>lead_time_days</t>
  </si>
  <si>
    <t>shipment_id</t>
  </si>
  <si>
    <t>transport_cost</t>
  </si>
  <si>
    <t>delivery_days</t>
  </si>
  <si>
    <t>delay_flag</t>
  </si>
  <si>
    <t>material_name</t>
  </si>
  <si>
    <t>category</t>
  </si>
  <si>
    <t>criticality</t>
  </si>
  <si>
    <t>rate_to_inr</t>
  </si>
  <si>
    <t>total_cost_inr</t>
  </si>
  <si>
    <t>Total landed cost</t>
  </si>
  <si>
    <t>2025-04-14</t>
  </si>
  <si>
    <t>USD</t>
  </si>
  <si>
    <t>Mountain View</t>
  </si>
  <si>
    <t>Japan</t>
  </si>
  <si>
    <t>Infotainment</t>
  </si>
  <si>
    <t>Electronics</t>
  </si>
  <si>
    <t>High</t>
  </si>
  <si>
    <t>2026-03-20</t>
  </si>
  <si>
    <t>JPY</t>
  </si>
  <si>
    <t>ABC Corp</t>
  </si>
  <si>
    <t>USA</t>
  </si>
  <si>
    <t>Seat Covers</t>
  </si>
  <si>
    <t>Leather</t>
  </si>
  <si>
    <t>Medium</t>
  </si>
  <si>
    <t>2025-04-28</t>
  </si>
  <si>
    <t>INR</t>
  </si>
  <si>
    <t>Dashboard</t>
  </si>
  <si>
    <t>Plastics</t>
  </si>
  <si>
    <t>Low</t>
  </si>
  <si>
    <t>2025-05-29</t>
  </si>
  <si>
    <t>XYZ Inc</t>
  </si>
  <si>
    <t>Austria</t>
  </si>
  <si>
    <t>Processor</t>
  </si>
  <si>
    <t>2025-11-03</t>
  </si>
  <si>
    <t>Golden Gate</t>
  </si>
  <si>
    <t>2026-01-10</t>
  </si>
  <si>
    <t>EUR</t>
  </si>
  <si>
    <t>Viper</t>
  </si>
  <si>
    <t>2025-09-19</t>
  </si>
  <si>
    <t>Best Buy</t>
  </si>
  <si>
    <t>Germany</t>
  </si>
  <si>
    <t>2026-02-19</t>
  </si>
  <si>
    <t>CNY</t>
  </si>
  <si>
    <t>Tech Solutions</t>
  </si>
  <si>
    <t>2025-10-17</t>
  </si>
  <si>
    <t>Paints</t>
  </si>
  <si>
    <t>Adhesives</t>
  </si>
  <si>
    <t>2026-03-17</t>
  </si>
  <si>
    <t>2025-08-31</t>
  </si>
  <si>
    <t>2025-08-15</t>
  </si>
  <si>
    <t>2025-07-24</t>
  </si>
  <si>
    <t>123 Enterprises</t>
  </si>
  <si>
    <t>2025-06-05</t>
  </si>
  <si>
    <t>Tyres</t>
  </si>
  <si>
    <t>Rubber</t>
  </si>
  <si>
    <t>2026-01-09</t>
  </si>
  <si>
    <t>Sunshine Co</t>
  </si>
  <si>
    <t>UK</t>
  </si>
  <si>
    <t>2025-05-30</t>
  </si>
  <si>
    <t>GBP</t>
  </si>
  <si>
    <t>2025-12-04</t>
  </si>
  <si>
    <t>Ocean Blue</t>
  </si>
  <si>
    <t>China</t>
  </si>
  <si>
    <t>Gears</t>
  </si>
  <si>
    <t>Steel</t>
  </si>
  <si>
    <t>2025-12-29</t>
  </si>
  <si>
    <t>2025-04-18</t>
  </si>
  <si>
    <t>2025-08-05</t>
  </si>
  <si>
    <t>2025-10-22</t>
  </si>
  <si>
    <t>2025-10-30</t>
  </si>
  <si>
    <t>2025-07-21</t>
  </si>
  <si>
    <t>Global Industries</t>
  </si>
  <si>
    <t>India</t>
  </si>
  <si>
    <t>Doors</t>
  </si>
  <si>
    <t>2025-09-12</t>
  </si>
  <si>
    <t>2025-11-30</t>
  </si>
  <si>
    <t>2025-12-28</t>
  </si>
  <si>
    <t>2025-08-11</t>
  </si>
  <si>
    <t>2025-10-12</t>
  </si>
  <si>
    <t>2025-08-14</t>
  </si>
  <si>
    <t>Windshield</t>
  </si>
  <si>
    <t>Glass</t>
  </si>
  <si>
    <t>2025-10-10</t>
  </si>
  <si>
    <t>2025-07-05</t>
  </si>
  <si>
    <t>2025-08-03</t>
  </si>
  <si>
    <t>2026-03-04</t>
  </si>
  <si>
    <t>2026-03-26</t>
  </si>
  <si>
    <t>2025-05-18</t>
  </si>
  <si>
    <t>2025-09-16</t>
  </si>
  <si>
    <t>2025-04-15</t>
  </si>
  <si>
    <t>2025-11-13</t>
  </si>
  <si>
    <t>2025-08-27</t>
  </si>
  <si>
    <t>2026-03-25</t>
  </si>
  <si>
    <t>2025-04-01</t>
  </si>
  <si>
    <t>2025-09-23</t>
  </si>
  <si>
    <t>2026-02-08</t>
  </si>
  <si>
    <t>2026-02-18</t>
  </si>
  <si>
    <t>2026-03-11</t>
  </si>
  <si>
    <t>2025-10-14</t>
  </si>
  <si>
    <t>2025-04-13</t>
  </si>
  <si>
    <t>2025-11-24</t>
  </si>
  <si>
    <t>2025-09-15</t>
  </si>
  <si>
    <t>2025-04-07</t>
  </si>
  <si>
    <t>2026-02-25</t>
  </si>
  <si>
    <t>2025-09-20</t>
  </si>
  <si>
    <t>2025-08-26</t>
  </si>
  <si>
    <t>2025-10-18</t>
  </si>
  <si>
    <t>2026-01-24</t>
  </si>
  <si>
    <t>2025-10-13</t>
  </si>
  <si>
    <t>2025-07-13</t>
  </si>
  <si>
    <t>2025-11-16</t>
  </si>
  <si>
    <t>2025-07-02</t>
  </si>
  <si>
    <t>2025-11-15</t>
  </si>
  <si>
    <t>2026-02-12</t>
  </si>
  <si>
    <t>2025-07-16</t>
  </si>
  <si>
    <t>2025-08-23</t>
  </si>
  <si>
    <t>2025-10-16</t>
  </si>
  <si>
    <t>2025-09-06</t>
  </si>
  <si>
    <t>2026-01-12</t>
  </si>
  <si>
    <t>2025-06-23</t>
  </si>
  <si>
    <t>2025-04-24</t>
  </si>
  <si>
    <t>2025-08-17</t>
  </si>
  <si>
    <t>2025-06-18</t>
  </si>
  <si>
    <t>2025-08-13</t>
  </si>
  <si>
    <t>2025-05-19</t>
  </si>
  <si>
    <t>2025-07-11</t>
  </si>
  <si>
    <t>2025-12-10</t>
  </si>
  <si>
    <t>2025-10-04</t>
  </si>
  <si>
    <t>2025-09-14</t>
  </si>
  <si>
    <t>2025-12-25</t>
  </si>
  <si>
    <t>2025-11-21</t>
  </si>
  <si>
    <t>2026-02-13</t>
  </si>
  <si>
    <t>2025-05-24</t>
  </si>
  <si>
    <t>2025-07-20</t>
  </si>
  <si>
    <t>2025-10-08</t>
  </si>
  <si>
    <t>2025-06-27</t>
  </si>
  <si>
    <t>2025-04-12</t>
  </si>
  <si>
    <t>2025-08-25</t>
  </si>
  <si>
    <t>2025-12-03</t>
  </si>
  <si>
    <t>2026-03-15</t>
  </si>
  <si>
    <t>2025-08-12</t>
  </si>
  <si>
    <t>2025-05-23</t>
  </si>
  <si>
    <t>2025-05-14</t>
  </si>
  <si>
    <t>2025-05-07</t>
  </si>
  <si>
    <t>Parameters</t>
  </si>
  <si>
    <t>Results</t>
  </si>
  <si>
    <t>Total Spend</t>
  </si>
  <si>
    <t>Avg Delay %</t>
  </si>
  <si>
    <t>On-Time Delivery %</t>
  </si>
  <si>
    <t>Total Orders</t>
  </si>
  <si>
    <t>Price_score</t>
  </si>
  <si>
    <t>Delay Score</t>
  </si>
  <si>
    <t>Rating</t>
  </si>
  <si>
    <t>Rating_score</t>
  </si>
  <si>
    <t>Final score</t>
  </si>
  <si>
    <t>Maximum</t>
  </si>
  <si>
    <t>Assumption: 0.5 for price
0.3 for delay
0.2 for rating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</si>
</sst>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color rgb="FFE314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5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0" fillId="2" fontId="3" numFmtId="0" xfId="0">
      <alignment vertical="bottom"/>
    </xf>
    <xf borderId="0" fillId="0" fontId="0" numFmtId="0" xfId="0">
      <alignment vertical="bottom" wrapText="1"/>
    </xf>
  </cellXfs>
  <cellStyles count="1">
    <cellStyle name="Normal" xfId="0" builtinId="0" customBuiltin="1"/>
  </cellStyles>
  <dxfs count="12">
    <dxf>
      <fill>
        <patternFill patternType="solid">
          <fgColor rgb="FFDCE6F2"/>
          <bgColor rgb="FFDCE6F2"/>
        </patternFill>
      </fill>
      <border>
        <left/>
        <right/>
        <top/>
        <bottom/>
        <diagonal/>
        <vertical style="thin">
          <color rgb="FFFFFFFF"/>
        </vertical>
        <horizontal style="thin">
          <color rgb="FFFFFFFF"/>
        </horizontal>
      </border>
    </dxf>
    <dxf>
      <font>
        <b/>
      </font>
      <fill>
        <patternFill patternType="solid">
          <fgColor rgb="FF4F81BD"/>
          <bgColor rgb="FF4F81BD"/>
        </patternFill>
      </fill>
      <border>
        <left/>
        <right/>
        <top/>
        <bottom style="thick">
          <color rgb="FFFFFFFF"/>
        </bottom>
        <diagonal/>
        <vertical/>
        <horizontal/>
      </border>
    </dxf>
    <dxf>
      <font>
        <b/>
      </font>
      <fill>
        <patternFill patternType="solid">
          <fgColor rgb="FF4F81BD"/>
          <bgColor rgb="FF4F81BD"/>
        </patternFill>
      </fill>
      <border>
        <left/>
        <right/>
        <top style="thick">
          <color rgb="FFFFFFFF"/>
        </top>
        <bottom/>
        <diagonal/>
        <vertical/>
        <horizontal/>
      </border>
    </dxf>
    <dxf>
      <fill>
        <patternFill patternType="solid">
          <fgColor rgb="FFB9CDE5"/>
          <bgColor rgb="FFB9CDE5"/>
        </patternFill>
      </fill>
    </dxf>
    <dxf>
      <font>
        <b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DCE6F2"/>
          <bgColor rgb="FFDCE6F2"/>
        </patternFill>
      </fill>
      <border>
        <left/>
        <right/>
        <top/>
        <bottom/>
        <diagonal/>
        <vertical style="thin">
          <color rgb="FFFFFFFF"/>
        </vertical>
        <horizontal style="thin">
          <color rgb="FFFFFFFF"/>
        </horizontal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left/>
        <right/>
        <top/>
        <bottom style="thick">
          <color rgb="FFFFFFFF"/>
        </bottom>
        <diagonal/>
        <vertical/>
        <horizontal/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left/>
        <right/>
        <top style="thick">
          <color rgb="FFFFFFFF"/>
        </top>
        <bottom/>
        <diagonal/>
        <vertical/>
        <horizontal/>
      </border>
    </dxf>
    <dxf>
      <fill>
        <patternFill patternType="solid">
          <fgColor rgb="FFB9CDE5"/>
          <bgColor rgb="FFB9CDE5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ill>
        <gradientFill degree="90.0">
          <stop position="0.0">
            <color rgb="FFF6F9FC"/>
          </stop>
          <stop position="1.0">
            <color rgb="FFECF1F8"/>
          </stop>
        </gradientFill>
      </fill>
      <border>
        <left style="thick">
          <color rgb="FFDCE6F2"/>
        </left>
        <right style="thick">
          <color rgb="FFDCE6F2"/>
        </right>
        <top style="thick">
          <color rgb="FFDCE6F2"/>
        </top>
        <bottom style="thick">
          <color rgb="FFDCE6F2"/>
        </bottom>
        <diagonal/>
        <vertical/>
        <horizontal/>
      </border>
    </dxf>
    <dxf>
      <font>
        <color rgb="FF376092"/>
      </font>
    </dxf>
  </dxfs>
  <tableStyles count="4" defaultPivotStyle="PivotStyleLight16" defaultTableStyle="TableStyleMedium2">
    <tableStyle name="Table1 Style_1" pivot="0" count="7">
      <tableStyleElement type="wholeTable" dxfId="0"/>
      <tableStyleElement type="headerRow" dxfId="1"/>
      <tableStyleElement type="totalRow" dxfId="2"/>
      <tableStyleElement type="firstColumnStripe" dxfId="3"/>
      <tableStyleElement type="firstRowStripe" dxfId="3"/>
      <tableStyleElement type="firstColumn" dxfId="4"/>
      <tableStyleElement type="lastColumn" dxfId="4"/>
    </tableStyle>
    <tableStyle name="Default Style" pivot="0" count="7">
      <tableStyleElement type="wholeTable" dxfId="5"/>
      <tableStyleElement type="headerRow" dxfId="6"/>
      <tableStyleElement type="totalRow" dxfId="7"/>
      <tableStyleElement type="firstColumnStripe" dxfId="8"/>
      <tableStyleElement type="firstRowStripe" dxfId="8"/>
      <tableStyleElement type="firstColumn" dxfId="9"/>
      <tableStyleElement type="lastColumn" dxfId="9"/>
    </tableStyle>
    <tableStyle name="Default Style" pivot="0" count="7">
      <tableStyleElement type="wholeTable" dxfId="5"/>
      <tableStyleElement type="headerRow" dxfId="6"/>
      <tableStyleElement type="totalRow" dxfId="7"/>
      <tableStyleElement type="firstColumnStripe" dxfId="8"/>
      <tableStyleElement type="firstRowStripe" dxfId="8"/>
      <tableStyleElement type="firstColumn" dxfId="9"/>
      <tableStyleElement type="lastColumn" dxfId="9"/>
    </tableStyle>
    <tableStyle name="custom_slicer_style 1" pivot="0">
      <tableStyleElement type="wholeTable" dxfId="10"/>
      <tableStyleElement type="headerRow" dxfId="11"/>
    </tableStyle>
  </tableStyles>
  <extLst>
    <ext xmlns:x14="http://schemas.microsoft.com/office/spreadsheetml/2009/9/main" uri="{46F421CA-312F-682f-3DD2-61675219B42D}">
      <x14:dxfs count="2">
        <dxf>
          <fill>
            <patternFill patternType="solid">
              <fgColor rgb="FFBED0E7"/>
              <bgColor rgb="FFBED0E7"/>
            </patternFill>
          </fill>
          <border>
            <left style="thick">
              <color rgb="FFBED0E7"/>
            </left>
            <right style="thick">
              <color rgb="FFBED0E7"/>
            </right>
            <top style="thick">
              <color rgb="FFBED0E7"/>
            </top>
            <bottom style="thick">
              <color rgb="FFBED0E7"/>
            </bottom>
            <diagonal/>
            <vertical/>
            <horizontal/>
          </border>
        </dxf>
        <dxf>
          <fill>
            <patternFill patternType="solid">
              <fgColor rgb="FFDFE8F3"/>
              <bgColor rgb="FFDFE8F3"/>
            </patternFill>
          </fill>
          <border>
            <left style="thick">
              <color rgb="FFDFE8F3"/>
            </left>
            <right style="thick">
              <color rgb="FFDFE8F3"/>
            </right>
            <top style="thick">
              <color rgb="FFDFE8F3"/>
            </top>
            <bottom style="thick">
              <color rgb="FFDFE8F3"/>
            </bottom>
            <diagonal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_slicer_style 1">
          <x14:slicerStyleElements>
            <x14:slicerStyleElement type="selectedItemWithData" dxfId="0"/>
            <x14:slicerStyleElement type="unselectedItemWith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pivotCache/pivotCacheDefinition1.xml" Id="rId4" Type="http://schemas.openxmlformats.org/officeDocument/2006/relationships/pivotCacheDefinition"/><Relationship Target="worksheets/sheet4.xml" Id="rId5" Type="http://schemas.openxmlformats.org/officeDocument/2006/relationships/worksheet"/><Relationship Target="slicerCaches/slicerCache1.xml" Id="rId6" Type="http://schemas.microsoft.com/office/2007/relationships/slicerCache"/><Relationship Target="sharedStrings.xml" Id="rId7" Type="http://schemas.openxmlformats.org/officeDocument/2006/relationships/sharedStrings"/><Relationship Target="styles.xml" Id="rId8" Type="http://schemas.openxmlformats.org/officeDocument/2006/relationships/styles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Material vs Total_Cost</a:t>
            </a:r>
          </a:p>
        </c:rich>
      </c:tx>
    </c:title>
    <c:plotArea>
      <c:pieChart>
        <c:ser>
          <c:idx val="0"/>
          <c:order val="0"/>
          <c:tx>
            <c:strRef>
              <c:f>Visual!$B$1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Visual!$B$2:$B$12</c:f>
              <c:numCache/>
            </c:numRef>
          </c:val>
        </c:ser>
        <c:ser>
          <c:idx val="1"/>
          <c:order val="1"/>
          <c:tx>
            <c:strRef>
              <c:f>Visual!$C$1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Visual!$C$2:$C$12</c:f>
              <c:numCache/>
            </c:numRef>
          </c:val>
        </c:ser>
        <c:ser>
          <c:idx val="2"/>
          <c:order val="2"/>
          <c:tx>
            <c:strRef>
              <c:f>Visual!$D$1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Visual!$D$2:$D$12</c:f>
              <c:numCache/>
            </c:numRef>
          </c:val>
        </c:ser>
        <c:ser>
          <c:idx val="3"/>
          <c:order val="3"/>
          <c:tx>
            <c:strRef>
              <c:f>Visual!$E$1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Visual!$E$2:$E$12</c:f>
              <c:numCache/>
            </c:numRef>
          </c:val>
        </c:ser>
        <c:ser>
          <c:idx val="4"/>
          <c:order val="4"/>
          <c:tx>
            <c:strRef>
              <c:f>Visual!$F$1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Visual!$F$2:$F$12</c:f>
              <c:numCache/>
            </c:numRef>
          </c:val>
        </c:ser>
        <c:ser>
          <c:idx val="5"/>
          <c:order val="5"/>
          <c:tx>
            <c:strRef>
              <c:f>Visual!$G$1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Visual!$G$2:$G$12</c:f>
              <c:numCache/>
            </c:numRef>
          </c:val>
        </c:ser>
        <c:ser>
          <c:idx val="6"/>
          <c:order val="6"/>
          <c:tx>
            <c:strRef>
              <c:f>Visual!$H$1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Visual!$H$2:$H$12</c:f>
              <c:numCache/>
            </c:numRef>
          </c:val>
        </c:ser>
        <c:ser>
          <c:idx val="7"/>
          <c:order val="7"/>
          <c:tx>
            <c:strRef>
              <c:f>Visual!$I$1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Visual!$A$2:$A$12</c:f>
            </c:strRef>
          </c:cat>
          <c:val>
            <c:numRef>
              <c:f>Visual!$I$2:$I$12</c:f>
              <c:numCache/>
            </c:numRef>
          </c:val>
        </c:ser>
      </c:pieChart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Target="../charts/chart1.xml" Id="rId1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2</xdr:col>
      <xdr:colOff>1010333</xdr:colOff>
      <xdr:row>12</xdr:row>
      <xdr:rowOff>75437</xdr:rowOff>
    </xdr:from>
    <xdr:ext cx="5623560" cy="386080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0</xdr:col>
      <xdr:colOff>1295400</xdr:colOff>
      <xdr:row>14</xdr:row>
      <xdr:rowOff>190500</xdr:rowOff>
    </xdr:from>
    <xdr:ext cx="2095499" cy="2476500"/>
    <mc:AlternateContent>
      <mc:Choice xmlns:a14="http://schemas.microsoft.com/office/drawing/2010/main" Requires="a14">
        <xdr:graphicFrame>
          <xdr:nvGraphicFramePr>
            <xdr:cNvPr id="1" name="Slicer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1"/>
            </a:graphicData>
          </a:graphic>
        </xdr:graphicFrame>
      </mc:Choice>
      <mc:Fallback>
        <xdr:sp>
          <xdr:nvSpPr>
            <xdr:cNvPr id="1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pPr algn="ctr"/>
              <a:r>
                <a:rPr lang="en-IN"/>
                <a:t>This shape represents a slicer.</a:t>
              </a:r>
            </a:p>
          </xdr:txBody>
        </xdr:sp>
      </mc:Fallback>
    </mc:AlternateContent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U101" sheet="Datasets"/>
  </cacheSource>
  <cacheFields count="21">
    <cacheField name="po_id">
      <sharedItems/>
    </cacheField>
    <cacheField name="vendor_id">
      <sharedItems/>
    </cacheField>
    <cacheField name="material_id">
      <sharedItems/>
    </cacheField>
    <cacheField name="order_date">
      <sharedItems/>
    </cacheField>
    <cacheField name="quantity">
      <sharedItems/>
    </cacheField>
    <cacheField name="unit_price">
      <sharedItems/>
    </cacheField>
    <cacheField name="currency">
      <sharedItems/>
    </cacheField>
    <cacheField name="vendor_name">
      <sharedItems/>
    </cacheField>
    <cacheField name="country_name">
      <sharedItems>
        <s v="Austria"/>
        <s v="China"/>
        <s v="Germany"/>
        <s v="India"/>
        <s v="Japan"/>
        <s v="UK"/>
        <s v="USA"/>
      </sharedItems>
    </cacheField>
    <cacheField name="ratings"/>
    <cacheField name="lead_time_days">
      <sharedItems/>
    </cacheField>
    <cacheField name="shipment_id">
      <sharedItems/>
    </cacheField>
    <cacheField name="transport_cost">
      <sharedItems/>
    </cacheField>
    <cacheField name="delivery_days">
      <sharedItems/>
    </cacheField>
    <cacheField name="delay_flag"/>
    <cacheField name="material_name">
      <sharedItems>
        <s v="Dashboard"/>
        <s v="Doors"/>
        <s v="Gears"/>
        <s v="Infotainment"/>
        <s v="Paints"/>
        <s v="Processor"/>
        <s v="Seat Covers"/>
        <s v="Tyres"/>
        <s v="Viper"/>
        <s v="Windshield"/>
      </sharedItems>
    </cacheField>
    <cacheField name="category">
      <sharedItems/>
    </cacheField>
    <cacheField name="criticality">
      <sharedItems/>
    </cacheField>
    <cacheField name="rate_to_inr">
      <sharedItems/>
    </cacheField>
    <cacheField name="total_cost_inr"/>
    <cacheField name="Total landed cost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1" cacheId="1" dataCaption="" updatedVersion="8" createdVersion="8" compact="0" compactData="0">
  <location ref="A1:D13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</pivotFields>
  <rowFields count="1">
    <field x="7"/>
  </rowFields>
  <colFields count="1">
    <field x="-2"/>
  </colFields>
  <dataFields count="3">
    <dataField fld="19" name="Sum of total_cost_inr" subtotal="sum"/>
    <dataField fld="14" name="Average of delay_flag" subtotal="average"/>
    <dataField fld="9" name="Average of ratings" subtotal="average"/>
  </dataFields>
</pivotTableDefinition>
</file>

<file path=xl/pivotTables/pivotTable2.xml><?xml version="1.0" encoding="utf-8"?>
<pivotTableDefinition xmlns="http://schemas.openxmlformats.org/spreadsheetml/2006/main" name="PivotTable2" cacheId="1" dataCaption="" updatedVersion="8" createdVersion="8" compact="0" compactData="0">
  <location ref="A1:H12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axis="axisCol" sortType="ascending">
      <items count="7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axis="axisRow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</pivotFields>
  <rowFields count="1">
    <field x="15"/>
  </rowFields>
  <colFields count="1">
    <field x="8"/>
  </colFields>
  <dataFields count="1">
    <dataField fld="20" name="Sum of Total landed cost" subtotal="sum"/>
  </dataFields>
</pivotTableDefinition>
</file>

<file path=xl/slicerCaches/slicerCache1.xml><?xml version="1.0" encoding="utf-8"?>
<slicerCacheDefinition xmlns="http://schemas.microsoft.com/office/spreadsheetml/2009/9/main" xmlns:x="http://schemas.openxmlformats.org/spreadsheetml/2006/main" name="slicerCache1" sourceName="country_name">
  <pivotTables>
    <pivotTable tabId="4" name="PivotTable2"/>
  </pivotTables>
  <data>
    <tabular pivotCacheId="1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>
  <slicer name="Slicer1" cache="slicerCache1" caption="country_name" columnCount="1" rowHeight="274320" style="custom_slicer_style 1"/>
</slicers>
</file>

<file path=xl/tables/table1.xml><?xml version="1.0" encoding="utf-8"?>
<table xmlns="http://schemas.openxmlformats.org/spreadsheetml/2006/main" id="1" name="Table1" displayName="Table1" ref="A1:U101">
  <tableColumns count="21">
    <tableColumn id="1" name="po_id" totalsRowLabel="Total"/>
    <tableColumn id="2" name="vendor_id"/>
    <tableColumn id="3" name="material_id"/>
    <tableColumn id="4" name="order_date"/>
    <tableColumn id="5" name="quantity"/>
    <tableColumn id="6" name="unit_price"/>
    <tableColumn id="7" name="currency"/>
    <tableColumn id="8" name="vendor_name"/>
    <tableColumn id="9" name="country_name"/>
    <tableColumn id="10" name="ratings"/>
    <tableColumn id="11" name="lead_time_days"/>
    <tableColumn id="12" name="shipment_id"/>
    <tableColumn id="13" name="transport_cost"/>
    <tableColumn id="14" name="delivery_days"/>
    <tableColumn id="15" name="delay_flag"/>
    <tableColumn id="16" name="material_name"/>
    <tableColumn id="17" name="category"/>
    <tableColumn id="18" name="criticality"/>
    <tableColumn id="19" name="rate_to_inr"/>
    <tableColumn id="20" name="total_cost_inr"/>
    <tableColumn id="21" name="Total landed cost" totalsRowFunction="custom">
      <totalsRowFormula>SUBTOTAL(109,Table1[Total landed cost])</totalsRowFormula>
    </tableColumn>
  </tableColumns>
  <tableStyleInfo name="Table1 Style_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B7">
  <tableColumns count="2">
    <tableColumn id="1" name="Parameters" totalsRowLabel="Total"/>
    <tableColumn id="2" name="Results" totalsRowFunction="custom">
      <totalsRowFormula>SUBTOTAL(109,Table2[Results])</totalsRowFormula>
    </tableColumn>
  </tableColumns>
  <tableStyleInfo name="Default Style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2:I12">
  <tableColumns count="5">
    <tableColumn id="1" name="Price_score" totalsRowLabel="Total"/>
    <tableColumn id="2" name="Delay Score"/>
    <tableColumn id="3" name="Rating"/>
    <tableColumn id="4" name="Rating_score"/>
    <tableColumn id="5" name="Final score" totalsRowFunction="custom">
      <totalsRowFormula>SUBTOTAL(109,Table3[Final score])</totalsRowFormula>
    </tableColumn>
  </tableColumns>
  <tableStyleInfo name="Default Sty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Target="../tables/table1.xml" Id="rId1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Target="../tables/table2.xml" Id="rId1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Target="../tables/table3.xml" Id="rId1" Type="http://schemas.openxmlformats.org/officeDocument/2006/relationships/table"/><Relationship Target="../pivotTables/pivotTable1.xml" Id="rId2" Type="http://schemas.openxmlformats.org/officeDocument/2006/relationships/pivotTable"/></Relationships>
</file>

<file path=xl/worksheets/_rels/sheet4.xml.rels><?xml version="1.0" encoding="UTF-8" standalone="yes"?><Relationships xmlns="http://schemas.openxmlformats.org/package/2006/relationships"><Relationship Target="../pivotTables/pivotTable2.xml" Id="rId3" Type="http://schemas.openxmlformats.org/officeDocument/2006/relationships/pivotTable"/><Relationship Target="../slicers/slicer1.xml" Id="rId2" Type="http://schemas.microsoft.com/office/2007/relationships/slicer"/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101"/>
  <sheetViews>
    <sheetView workbookViewId="0"/>
  </sheetViews>
  <sheetFormatPr defaultRowHeight="14.0" customHeight="1"/>
  <cols>
    <col min="1" max="7" width="10.86"/>
    <col min="8" max="8" width="17.09"/>
    <col min="9" max="9" width="15.1"/>
    <col min="10" max="10" width="10.86"/>
    <col min="11" max="11" width="16.16"/>
    <col min="12" max="12" width="12.85"/>
    <col min="13" max="13" width="15.36"/>
    <col min="14" max="14" width="14.04"/>
    <col min="15" max="15" width="12.98"/>
    <col min="16" max="16" width="15.76"/>
    <col min="17" max="17" width="11.52"/>
    <col min="18" max="19" width="10.86"/>
    <col min="20" max="20" width="14.17"/>
    <col min="21" max="21" width="17.75"/>
    <col min="22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</row>
    <row r="2">
      <c r="A2" s="1">
        <v>1.0</v>
      </c>
      <c r="B2" s="1">
        <v>8.0</v>
      </c>
      <c r="C2" s="1">
        <v>4.0</v>
      </c>
      <c r="D2" s="1" t="s">
        <v>21</v>
      </c>
      <c r="E2" s="1">
        <v>194.0</v>
      </c>
      <c r="F2" s="1">
        <v>4755.0</v>
      </c>
      <c r="G2" s="1" t="s">
        <v>22</v>
      </c>
      <c r="H2" s="1" t="s">
        <v>23</v>
      </c>
      <c r="I2" s="1" t="s">
        <v>24</v>
      </c>
      <c r="J2" s="1">
        <v>3.84</v>
      </c>
      <c r="K2" s="1">
        <v>8.0</v>
      </c>
      <c r="L2" s="1">
        <v>1.0</v>
      </c>
      <c r="M2" s="1">
        <v>7454.0</v>
      </c>
      <c r="N2" s="1">
        <v>26.0</v>
      </c>
      <c r="O2" s="1">
        <v>0.0</v>
      </c>
      <c r="P2" s="1" t="s">
        <v>25</v>
      </c>
      <c r="Q2" s="1" t="s">
        <v>26</v>
      </c>
      <c r="R2" s="1" t="s">
        <v>27</v>
      </c>
      <c r="S2" s="1">
        <v>85.0</v>
      </c>
      <c r="T2" s="1">
        <v>7.840995E7</v>
      </c>
      <c r="U2">
        <f t="shared" ref="U2:U101" si="0">T2+M2</f>
        <v>7.8417404E7</v>
      </c>
    </row>
    <row r="3">
      <c r="A3" s="1">
        <v>2.0</v>
      </c>
      <c r="B3" s="1">
        <v>1.0</v>
      </c>
      <c r="C3" s="1">
        <v>8.0</v>
      </c>
      <c r="D3" s="1" t="s">
        <v>28</v>
      </c>
      <c r="E3" s="1">
        <v>320.0</v>
      </c>
      <c r="F3" s="1">
        <v>1730.0</v>
      </c>
      <c r="G3" s="1" t="s">
        <v>29</v>
      </c>
      <c r="H3" s="1" t="s">
        <v>30</v>
      </c>
      <c r="I3" s="1" t="s">
        <v>31</v>
      </c>
      <c r="J3" s="1">
        <v>4.65</v>
      </c>
      <c r="K3" s="1">
        <v>14.0</v>
      </c>
      <c r="L3" s="1">
        <v>2.0</v>
      </c>
      <c r="M3" s="1">
        <v>8474.0</v>
      </c>
      <c r="N3" s="1">
        <v>37.0</v>
      </c>
      <c r="O3" s="1">
        <v>1.0</v>
      </c>
      <c r="P3" s="1" t="s">
        <v>32</v>
      </c>
      <c r="Q3" s="1" t="s">
        <v>33</v>
      </c>
      <c r="R3" s="1" t="s">
        <v>34</v>
      </c>
      <c r="S3" s="1">
        <v>0.7</v>
      </c>
      <c r="T3" s="1">
        <v>387520.0</v>
      </c>
      <c r="U3" s="1">
        <f t="shared" si="0"/>
        <v>395994.0</v>
      </c>
    </row>
    <row r="4">
      <c r="A4" s="1">
        <v>3.0</v>
      </c>
      <c r="B4" s="1">
        <v>8.0</v>
      </c>
      <c r="C4" s="1">
        <v>5.0</v>
      </c>
      <c r="D4" s="1" t="s">
        <v>35</v>
      </c>
      <c r="E4" s="1">
        <v>384.0</v>
      </c>
      <c r="F4" s="1">
        <v>4464.0</v>
      </c>
      <c r="G4" s="1" t="s">
        <v>36</v>
      </c>
      <c r="H4" s="1" t="s">
        <v>23</v>
      </c>
      <c r="I4" s="1" t="s">
        <v>24</v>
      </c>
      <c r="J4" s="1">
        <v>3.84</v>
      </c>
      <c r="K4" s="1">
        <v>8.0</v>
      </c>
      <c r="L4" s="1">
        <v>3.0</v>
      </c>
      <c r="M4" s="1">
        <v>8378.0</v>
      </c>
      <c r="N4" s="1">
        <v>45.0</v>
      </c>
      <c r="O4" s="1">
        <v>0.0</v>
      </c>
      <c r="P4" s="1" t="s">
        <v>37</v>
      </c>
      <c r="Q4" s="1" t="s">
        <v>38</v>
      </c>
      <c r="R4" s="1" t="s">
        <v>39</v>
      </c>
      <c r="S4" s="1">
        <v>1.0</v>
      </c>
      <c r="T4" s="1">
        <v>1714176.0</v>
      </c>
      <c r="U4" s="1">
        <f t="shared" si="0"/>
        <v>1722554.0</v>
      </c>
    </row>
    <row r="5">
      <c r="A5" s="1">
        <v>4.0</v>
      </c>
      <c r="B5" s="1">
        <v>2.0</v>
      </c>
      <c r="C5" s="1">
        <v>10.0</v>
      </c>
      <c r="D5" s="1" t="s">
        <v>40</v>
      </c>
      <c r="E5" s="1">
        <v>479.0</v>
      </c>
      <c r="F5" s="1">
        <v>3989.0</v>
      </c>
      <c r="G5" s="1" t="s">
        <v>22</v>
      </c>
      <c r="H5" s="1" t="s">
        <v>41</v>
      </c>
      <c r="I5" s="1" t="s">
        <v>42</v>
      </c>
      <c r="J5" s="1">
        <v>4.17</v>
      </c>
      <c r="K5" s="1">
        <v>16.0</v>
      </c>
      <c r="L5" s="1">
        <v>4.0</v>
      </c>
      <c r="M5" s="1">
        <v>9595.0</v>
      </c>
      <c r="N5" s="1">
        <v>19.0</v>
      </c>
      <c r="O5" s="1">
        <v>1.0</v>
      </c>
      <c r="P5" s="1" t="s">
        <v>43</v>
      </c>
      <c r="Q5" s="1" t="s">
        <v>26</v>
      </c>
      <c r="R5" s="1" t="s">
        <v>27</v>
      </c>
      <c r="S5" s="1">
        <v>85.0</v>
      </c>
      <c r="T5" s="1">
        <v>1.62412135E8</v>
      </c>
      <c r="U5" s="1">
        <f t="shared" si="0"/>
        <v>1.6242173E8</v>
      </c>
    </row>
    <row r="6">
      <c r="A6" s="1">
        <v>5.0</v>
      </c>
      <c r="B6" s="1">
        <v>10.0</v>
      </c>
      <c r="C6" s="1">
        <v>5.0</v>
      </c>
      <c r="D6" s="1" t="s">
        <v>44</v>
      </c>
      <c r="E6" s="1">
        <v>222.0</v>
      </c>
      <c r="F6" s="1">
        <v>4725.0</v>
      </c>
      <c r="G6" s="1" t="s">
        <v>29</v>
      </c>
      <c r="H6" s="1" t="s">
        <v>45</v>
      </c>
      <c r="I6" s="1" t="s">
        <v>42</v>
      </c>
      <c r="J6" s="1">
        <v>3.68</v>
      </c>
      <c r="K6" s="1">
        <v>16.0</v>
      </c>
      <c r="L6" s="1">
        <v>5.0</v>
      </c>
      <c r="M6" s="1">
        <v>3079.0</v>
      </c>
      <c r="N6" s="1">
        <v>33.0</v>
      </c>
      <c r="O6" s="1">
        <v>1.0</v>
      </c>
      <c r="P6" s="1" t="s">
        <v>37</v>
      </c>
      <c r="Q6" s="1" t="s">
        <v>38</v>
      </c>
      <c r="R6" s="1" t="s">
        <v>39</v>
      </c>
      <c r="S6" s="1">
        <v>0.7</v>
      </c>
      <c r="T6" s="1">
        <v>734265.0</v>
      </c>
      <c r="U6" s="1">
        <f t="shared" si="0"/>
        <v>737344.0</v>
      </c>
    </row>
    <row r="7">
      <c r="A7" s="1">
        <v>6.0</v>
      </c>
      <c r="B7" s="1">
        <v>1.0</v>
      </c>
      <c r="C7" s="1">
        <v>3.0</v>
      </c>
      <c r="D7" s="1" t="s">
        <v>46</v>
      </c>
      <c r="E7" s="1">
        <v>320.0</v>
      </c>
      <c r="F7" s="1">
        <v>2266.0</v>
      </c>
      <c r="G7" s="1" t="s">
        <v>47</v>
      </c>
      <c r="H7" s="1" t="s">
        <v>30</v>
      </c>
      <c r="I7" s="1" t="s">
        <v>31</v>
      </c>
      <c r="J7" s="1">
        <v>4.65</v>
      </c>
      <c r="K7" s="1">
        <v>14.0</v>
      </c>
      <c r="L7" s="1">
        <v>6.0</v>
      </c>
      <c r="M7" s="1">
        <v>3628.0</v>
      </c>
      <c r="N7" s="1">
        <v>18.0</v>
      </c>
      <c r="O7" s="1">
        <v>0.0</v>
      </c>
      <c r="P7" s="1" t="s">
        <v>48</v>
      </c>
      <c r="Q7" s="1" t="s">
        <v>38</v>
      </c>
      <c r="R7" s="1" t="s">
        <v>39</v>
      </c>
      <c r="S7" s="1">
        <v>95.0</v>
      </c>
      <c r="T7" s="1">
        <v>6.88864E7</v>
      </c>
      <c r="U7" s="1">
        <f t="shared" si="0"/>
        <v>6.8890028E7</v>
      </c>
    </row>
    <row r="8">
      <c r="A8" s="1">
        <v>7.0</v>
      </c>
      <c r="B8" s="1">
        <v>4.0</v>
      </c>
      <c r="C8" s="1">
        <v>8.0</v>
      </c>
      <c r="D8" s="1" t="s">
        <v>49</v>
      </c>
      <c r="E8" s="1">
        <v>119.0</v>
      </c>
      <c r="F8" s="1">
        <v>3669.0</v>
      </c>
      <c r="G8" s="1" t="s">
        <v>47</v>
      </c>
      <c r="H8" s="1" t="s">
        <v>50</v>
      </c>
      <c r="I8" s="1" t="s">
        <v>51</v>
      </c>
      <c r="J8" s="1">
        <v>4.44</v>
      </c>
      <c r="K8" s="1">
        <v>14.0</v>
      </c>
      <c r="L8" s="1">
        <v>7.0</v>
      </c>
      <c r="M8" s="1">
        <v>7300.0</v>
      </c>
      <c r="N8" s="1">
        <v>43.0</v>
      </c>
      <c r="O8" s="1">
        <v>0.0</v>
      </c>
      <c r="P8" s="1" t="s">
        <v>32</v>
      </c>
      <c r="Q8" s="1" t="s">
        <v>33</v>
      </c>
      <c r="R8" s="1" t="s">
        <v>34</v>
      </c>
      <c r="S8" s="1">
        <v>95.0</v>
      </c>
      <c r="T8" s="1">
        <v>4.1478045E7</v>
      </c>
      <c r="U8" s="1">
        <f t="shared" si="0"/>
        <v>4.1485345E7</v>
      </c>
    </row>
    <row r="9">
      <c r="A9" s="1">
        <v>8.0</v>
      </c>
      <c r="B9" s="1">
        <v>6.0</v>
      </c>
      <c r="C9" s="1">
        <v>5.0</v>
      </c>
      <c r="D9" s="1" t="s">
        <v>52</v>
      </c>
      <c r="E9" s="1">
        <v>466.0</v>
      </c>
      <c r="F9" s="1">
        <v>4535.0</v>
      </c>
      <c r="G9" s="1" t="s">
        <v>53</v>
      </c>
      <c r="H9" s="1" t="s">
        <v>54</v>
      </c>
      <c r="I9" s="1" t="s">
        <v>51</v>
      </c>
      <c r="J9" s="1">
        <v>3.89</v>
      </c>
      <c r="K9" s="1">
        <v>21.0</v>
      </c>
      <c r="L9" s="1">
        <v>8.0</v>
      </c>
      <c r="M9" s="1">
        <v>3063.0</v>
      </c>
      <c r="N9" s="1">
        <v>30.0</v>
      </c>
      <c r="O9" s="1">
        <v>0.0</v>
      </c>
      <c r="P9" s="1" t="s">
        <v>37</v>
      </c>
      <c r="Q9" s="1" t="s">
        <v>38</v>
      </c>
      <c r="R9" s="1" t="s">
        <v>39</v>
      </c>
      <c r="S9" s="1">
        <v>11.5</v>
      </c>
      <c r="T9" s="1">
        <v>2.4303065E7</v>
      </c>
      <c r="U9" s="1">
        <f t="shared" si="0"/>
        <v>2.4306128E7</v>
      </c>
    </row>
    <row r="10">
      <c r="A10" s="1">
        <v>9.0</v>
      </c>
      <c r="B10" s="1">
        <v>8.0</v>
      </c>
      <c r="C10" s="1">
        <v>7.0</v>
      </c>
      <c r="D10" s="1" t="s">
        <v>55</v>
      </c>
      <c r="E10" s="1">
        <v>248.0</v>
      </c>
      <c r="F10" s="1">
        <v>4424.0</v>
      </c>
      <c r="G10" s="1" t="s">
        <v>29</v>
      </c>
      <c r="H10" s="1" t="s">
        <v>23</v>
      </c>
      <c r="I10" s="1" t="s">
        <v>24</v>
      </c>
      <c r="J10" s="1">
        <v>3.84</v>
      </c>
      <c r="K10" s="1">
        <v>8.0</v>
      </c>
      <c r="L10" s="1">
        <v>9.0</v>
      </c>
      <c r="M10" s="1">
        <v>9741.0</v>
      </c>
      <c r="N10" s="1">
        <v>21.0</v>
      </c>
      <c r="O10" s="1">
        <v>0.0</v>
      </c>
      <c r="P10" s="1" t="s">
        <v>56</v>
      </c>
      <c r="Q10" s="1" t="s">
        <v>57</v>
      </c>
      <c r="R10" s="1" t="s">
        <v>34</v>
      </c>
      <c r="S10" s="1">
        <v>0.7</v>
      </c>
      <c r="T10" s="1">
        <v>768006.4</v>
      </c>
      <c r="U10" s="1">
        <f t="shared" si="0"/>
        <v>777747.4</v>
      </c>
    </row>
    <row r="11">
      <c r="A11" s="1">
        <v>10.0</v>
      </c>
      <c r="B11" s="1">
        <v>1.0</v>
      </c>
      <c r="C11" s="1">
        <v>4.0</v>
      </c>
      <c r="D11" s="1" t="s">
        <v>58</v>
      </c>
      <c r="E11" s="1">
        <v>486.0</v>
      </c>
      <c r="F11" s="1">
        <v>2008.0</v>
      </c>
      <c r="G11" s="1" t="s">
        <v>47</v>
      </c>
      <c r="H11" s="1" t="s">
        <v>30</v>
      </c>
      <c r="I11" s="1" t="s">
        <v>31</v>
      </c>
      <c r="J11" s="1">
        <v>4.65</v>
      </c>
      <c r="K11" s="1">
        <v>14.0</v>
      </c>
      <c r="L11" s="1">
        <v>10.0</v>
      </c>
      <c r="M11" s="1">
        <v>6838.0</v>
      </c>
      <c r="N11" s="1">
        <v>18.0</v>
      </c>
      <c r="O11" s="1">
        <v>1.0</v>
      </c>
      <c r="P11" s="1" t="s">
        <v>25</v>
      </c>
      <c r="Q11" s="1" t="s">
        <v>26</v>
      </c>
      <c r="R11" s="1" t="s">
        <v>27</v>
      </c>
      <c r="S11" s="1">
        <v>95.0</v>
      </c>
      <c r="T11" s="1">
        <v>9.270936E7</v>
      </c>
      <c r="U11" s="1">
        <f t="shared" si="0"/>
        <v>9.2716198E7</v>
      </c>
    </row>
    <row r="12">
      <c r="A12" s="1">
        <v>11.0</v>
      </c>
      <c r="B12" s="1">
        <v>6.0</v>
      </c>
      <c r="C12" s="1">
        <v>4.0</v>
      </c>
      <c r="D12" s="1" t="s">
        <v>59</v>
      </c>
      <c r="E12" s="1">
        <v>212.0</v>
      </c>
      <c r="F12" s="1">
        <v>1783.0</v>
      </c>
      <c r="G12" s="1" t="s">
        <v>36</v>
      </c>
      <c r="H12" s="1" t="s">
        <v>54</v>
      </c>
      <c r="I12" s="1" t="s">
        <v>51</v>
      </c>
      <c r="J12" s="1">
        <v>3.89</v>
      </c>
      <c r="K12" s="1">
        <v>21.0</v>
      </c>
      <c r="L12" s="1">
        <v>11.0</v>
      </c>
      <c r="M12" s="1">
        <v>5751.0</v>
      </c>
      <c r="N12" s="1">
        <v>31.0</v>
      </c>
      <c r="O12" s="1">
        <v>1.0</v>
      </c>
      <c r="P12" s="1" t="s">
        <v>25</v>
      </c>
      <c r="Q12" s="1" t="s">
        <v>26</v>
      </c>
      <c r="R12" s="1" t="s">
        <v>27</v>
      </c>
      <c r="S12" s="1">
        <v>1.0</v>
      </c>
      <c r="T12" s="1">
        <v>377996.0</v>
      </c>
      <c r="U12" s="1">
        <f t="shared" si="0"/>
        <v>383747.0</v>
      </c>
    </row>
    <row r="13">
      <c r="A13" s="1">
        <v>12.0</v>
      </c>
      <c r="B13" s="1">
        <v>1.0</v>
      </c>
      <c r="C13" s="1">
        <v>10.0</v>
      </c>
      <c r="D13" s="1" t="s">
        <v>60</v>
      </c>
      <c r="E13" s="1">
        <v>151.0</v>
      </c>
      <c r="F13" s="1">
        <v>3221.0</v>
      </c>
      <c r="G13" s="1" t="s">
        <v>22</v>
      </c>
      <c r="H13" s="1" t="s">
        <v>30</v>
      </c>
      <c r="I13" s="1" t="s">
        <v>31</v>
      </c>
      <c r="J13" s="1">
        <v>4.65</v>
      </c>
      <c r="K13" s="1">
        <v>14.0</v>
      </c>
      <c r="L13" s="1">
        <v>12.0</v>
      </c>
      <c r="M13" s="1">
        <v>7488.0</v>
      </c>
      <c r="N13" s="1">
        <v>39.0</v>
      </c>
      <c r="O13" s="1">
        <v>1.0</v>
      </c>
      <c r="P13" s="1" t="s">
        <v>43</v>
      </c>
      <c r="Q13" s="1" t="s">
        <v>26</v>
      </c>
      <c r="R13" s="1" t="s">
        <v>27</v>
      </c>
      <c r="S13" s="1">
        <v>85.0</v>
      </c>
      <c r="T13" s="1">
        <v>4.1341535E7</v>
      </c>
      <c r="U13" s="1">
        <f t="shared" si="0"/>
        <v>4.1349023E7</v>
      </c>
    </row>
    <row r="14">
      <c r="A14" s="1">
        <v>13.0</v>
      </c>
      <c r="B14" s="1">
        <v>3.0</v>
      </c>
      <c r="C14" s="1">
        <v>5.0</v>
      </c>
      <c r="D14" s="1" t="s">
        <v>61</v>
      </c>
      <c r="E14" s="1">
        <v>372.0</v>
      </c>
      <c r="F14" s="1">
        <v>2541.0</v>
      </c>
      <c r="G14" s="1" t="s">
        <v>47</v>
      </c>
      <c r="H14" s="1" t="s">
        <v>62</v>
      </c>
      <c r="I14" s="1" t="s">
        <v>31</v>
      </c>
      <c r="J14" s="1">
        <v>4.25</v>
      </c>
      <c r="K14" s="1">
        <v>20.0</v>
      </c>
      <c r="L14" s="1">
        <v>13.0</v>
      </c>
      <c r="M14" s="1">
        <v>9519.0</v>
      </c>
      <c r="N14" s="1">
        <v>16.0</v>
      </c>
      <c r="O14" s="1">
        <v>1.0</v>
      </c>
      <c r="P14" s="1" t="s">
        <v>37</v>
      </c>
      <c r="Q14" s="1" t="s">
        <v>38</v>
      </c>
      <c r="R14" s="1" t="s">
        <v>39</v>
      </c>
      <c r="S14" s="1">
        <v>95.0</v>
      </c>
      <c r="T14" s="1">
        <v>8.979894E7</v>
      </c>
      <c r="U14" s="1">
        <f t="shared" si="0"/>
        <v>8.9808459E7</v>
      </c>
    </row>
    <row r="15">
      <c r="A15" s="1">
        <v>14.0</v>
      </c>
      <c r="B15" s="1">
        <v>10.0</v>
      </c>
      <c r="C15" s="1">
        <v>1.0</v>
      </c>
      <c r="D15" s="1" t="s">
        <v>63</v>
      </c>
      <c r="E15" s="1">
        <v>348.0</v>
      </c>
      <c r="F15" s="1">
        <v>2519.0</v>
      </c>
      <c r="G15" s="1" t="s">
        <v>47</v>
      </c>
      <c r="H15" s="1" t="s">
        <v>45</v>
      </c>
      <c r="I15" s="1" t="s">
        <v>42</v>
      </c>
      <c r="J15" s="1">
        <v>3.68</v>
      </c>
      <c r="K15" s="1">
        <v>16.0</v>
      </c>
      <c r="L15" s="1">
        <v>14.0</v>
      </c>
      <c r="M15" s="1">
        <v>6157.0</v>
      </c>
      <c r="N15" s="1">
        <v>44.0</v>
      </c>
      <c r="O15" s="1">
        <v>1.0</v>
      </c>
      <c r="P15" s="1" t="s">
        <v>64</v>
      </c>
      <c r="Q15" s="1" t="s">
        <v>65</v>
      </c>
      <c r="R15" s="1" t="s">
        <v>27</v>
      </c>
      <c r="S15" s="1">
        <v>95.0</v>
      </c>
      <c r="T15" s="1">
        <v>8.327814E7</v>
      </c>
      <c r="U15" s="1">
        <f t="shared" si="0"/>
        <v>8.3284297E7</v>
      </c>
    </row>
    <row r="16">
      <c r="A16" s="1">
        <v>15.0</v>
      </c>
      <c r="B16" s="1">
        <v>5.0</v>
      </c>
      <c r="C16" s="1">
        <v>3.0</v>
      </c>
      <c r="D16" s="1" t="s">
        <v>66</v>
      </c>
      <c r="E16" s="1">
        <v>268.0</v>
      </c>
      <c r="F16" s="1">
        <v>2905.0</v>
      </c>
      <c r="G16" s="1" t="s">
        <v>22</v>
      </c>
      <c r="H16" s="1" t="s">
        <v>67</v>
      </c>
      <c r="I16" s="1" t="s">
        <v>68</v>
      </c>
      <c r="J16" s="1">
        <v>4.25</v>
      </c>
      <c r="K16" s="1">
        <v>13.0</v>
      </c>
      <c r="L16" s="1">
        <v>15.0</v>
      </c>
      <c r="M16" s="1">
        <v>9053.0</v>
      </c>
      <c r="N16" s="1">
        <v>38.0</v>
      </c>
      <c r="O16" s="1">
        <v>1.0</v>
      </c>
      <c r="P16" s="1" t="s">
        <v>48</v>
      </c>
      <c r="Q16" s="1" t="s">
        <v>38</v>
      </c>
      <c r="R16" s="1" t="s">
        <v>39</v>
      </c>
      <c r="S16" s="1">
        <v>85.0</v>
      </c>
      <c r="T16" s="1">
        <v>6.61759E7</v>
      </c>
      <c r="U16" s="1">
        <f t="shared" si="0"/>
        <v>6.6184953E7</v>
      </c>
    </row>
    <row r="17">
      <c r="A17" s="1">
        <v>16.0</v>
      </c>
      <c r="B17" s="1">
        <v>8.0</v>
      </c>
      <c r="C17" s="1">
        <v>5.0</v>
      </c>
      <c r="D17" s="1" t="s">
        <v>69</v>
      </c>
      <c r="E17" s="1">
        <v>154.0</v>
      </c>
      <c r="F17" s="1">
        <v>3236.0</v>
      </c>
      <c r="G17" s="1" t="s">
        <v>70</v>
      </c>
      <c r="H17" s="1" t="s">
        <v>23</v>
      </c>
      <c r="I17" s="1" t="s">
        <v>24</v>
      </c>
      <c r="J17" s="1">
        <v>3.84</v>
      </c>
      <c r="K17" s="1">
        <v>8.0</v>
      </c>
      <c r="L17" s="1">
        <v>16.0</v>
      </c>
      <c r="M17" s="1">
        <v>4496.0</v>
      </c>
      <c r="N17" s="1">
        <v>23.0</v>
      </c>
      <c r="O17" s="1">
        <v>1.0</v>
      </c>
      <c r="P17" s="1" t="s">
        <v>37</v>
      </c>
      <c r="Q17" s="1" t="s">
        <v>38</v>
      </c>
      <c r="R17" s="1" t="s">
        <v>39</v>
      </c>
      <c r="S17" s="1">
        <v>115.0</v>
      </c>
      <c r="T17" s="1">
        <v>5.730956E7</v>
      </c>
      <c r="U17" s="1">
        <f t="shared" si="0"/>
        <v>5.7314056E7</v>
      </c>
    </row>
    <row r="18">
      <c r="A18" s="1">
        <v>17.0</v>
      </c>
      <c r="B18" s="1">
        <v>9.0</v>
      </c>
      <c r="C18" s="1">
        <v>9.0</v>
      </c>
      <c r="D18" s="1" t="s">
        <v>71</v>
      </c>
      <c r="E18" s="1">
        <v>415.0</v>
      </c>
      <c r="F18" s="1">
        <v>4056.0</v>
      </c>
      <c r="G18" s="1" t="s">
        <v>36</v>
      </c>
      <c r="H18" s="1" t="s">
        <v>72</v>
      </c>
      <c r="I18" s="1" t="s">
        <v>73</v>
      </c>
      <c r="J18" s="1">
        <v>3.66</v>
      </c>
      <c r="K18" s="1">
        <v>16.0</v>
      </c>
      <c r="L18" s="1">
        <v>17.0</v>
      </c>
      <c r="M18" s="1">
        <v>9152.0</v>
      </c>
      <c r="N18" s="1">
        <v>10.0</v>
      </c>
      <c r="O18" s="1">
        <v>0.0</v>
      </c>
      <c r="P18" s="1" t="s">
        <v>74</v>
      </c>
      <c r="Q18" s="1" t="s">
        <v>75</v>
      </c>
      <c r="R18" s="1" t="s">
        <v>27</v>
      </c>
      <c r="S18" s="1">
        <v>1.0</v>
      </c>
      <c r="T18" s="1">
        <v>1683240.0</v>
      </c>
      <c r="U18" s="1">
        <f t="shared" si="0"/>
        <v>1692392.0</v>
      </c>
    </row>
    <row r="19">
      <c r="A19" s="1">
        <v>18.0</v>
      </c>
      <c r="B19" s="1">
        <v>2.0</v>
      </c>
      <c r="C19" s="1">
        <v>4.0</v>
      </c>
      <c r="D19" s="1" t="s">
        <v>76</v>
      </c>
      <c r="E19" s="1">
        <v>465.0</v>
      </c>
      <c r="F19" s="1">
        <v>1640.0</v>
      </c>
      <c r="G19" s="1" t="s">
        <v>36</v>
      </c>
      <c r="H19" s="1" t="s">
        <v>41</v>
      </c>
      <c r="I19" s="1" t="s">
        <v>42</v>
      </c>
      <c r="J19" s="1">
        <v>4.17</v>
      </c>
      <c r="K19" s="1">
        <v>16.0</v>
      </c>
      <c r="L19" s="1">
        <v>18.0</v>
      </c>
      <c r="M19" s="1">
        <v>6597.0</v>
      </c>
      <c r="N19" s="1">
        <v>31.0</v>
      </c>
      <c r="O19" s="1">
        <v>1.0</v>
      </c>
      <c r="P19" s="1" t="s">
        <v>25</v>
      </c>
      <c r="Q19" s="1" t="s">
        <v>26</v>
      </c>
      <c r="R19" s="1" t="s">
        <v>27</v>
      </c>
      <c r="S19" s="1">
        <v>1.0</v>
      </c>
      <c r="T19" s="1">
        <v>762600.0</v>
      </c>
      <c r="U19" s="1">
        <f t="shared" si="0"/>
        <v>769197.0</v>
      </c>
    </row>
    <row r="20">
      <c r="A20" s="1">
        <v>19.0</v>
      </c>
      <c r="B20" s="1">
        <v>4.0</v>
      </c>
      <c r="C20" s="1">
        <v>8.0</v>
      </c>
      <c r="D20" s="1" t="s">
        <v>77</v>
      </c>
      <c r="E20" s="1">
        <v>244.0</v>
      </c>
      <c r="F20" s="1">
        <v>1972.0</v>
      </c>
      <c r="G20" s="1" t="s">
        <v>47</v>
      </c>
      <c r="H20" s="1" t="s">
        <v>50</v>
      </c>
      <c r="I20" s="1" t="s">
        <v>51</v>
      </c>
      <c r="J20" s="1">
        <v>4.44</v>
      </c>
      <c r="K20" s="1">
        <v>14.0</v>
      </c>
      <c r="L20" s="1">
        <v>19.0</v>
      </c>
      <c r="M20" s="1">
        <v>9846.0</v>
      </c>
      <c r="N20" s="1">
        <v>41.0</v>
      </c>
      <c r="O20" s="1">
        <v>1.0</v>
      </c>
      <c r="P20" s="1" t="s">
        <v>32</v>
      </c>
      <c r="Q20" s="1" t="s">
        <v>33</v>
      </c>
      <c r="R20" s="1" t="s">
        <v>34</v>
      </c>
      <c r="S20" s="1">
        <v>95.0</v>
      </c>
      <c r="T20" s="1">
        <v>4.571096E7</v>
      </c>
      <c r="U20" s="1">
        <f t="shared" si="0"/>
        <v>4.5720806E7</v>
      </c>
    </row>
    <row r="21">
      <c r="A21" s="1">
        <v>20.0</v>
      </c>
      <c r="B21" s="1">
        <v>3.0</v>
      </c>
      <c r="C21" s="1">
        <v>8.0</v>
      </c>
      <c r="D21" s="1" t="s">
        <v>78</v>
      </c>
      <c r="E21" s="1">
        <v>372.0</v>
      </c>
      <c r="F21" s="1">
        <v>4711.0</v>
      </c>
      <c r="G21" s="1" t="s">
        <v>36</v>
      </c>
      <c r="H21" s="1" t="s">
        <v>62</v>
      </c>
      <c r="I21" s="1" t="s">
        <v>31</v>
      </c>
      <c r="J21" s="1">
        <v>4.25</v>
      </c>
      <c r="K21" s="1">
        <v>20.0</v>
      </c>
      <c r="L21" s="1">
        <v>20.0</v>
      </c>
      <c r="M21" s="1">
        <v>5813.0</v>
      </c>
      <c r="N21" s="1">
        <v>42.0</v>
      </c>
      <c r="O21" s="1">
        <v>1.0</v>
      </c>
      <c r="P21" s="1" t="s">
        <v>32</v>
      </c>
      <c r="Q21" s="1" t="s">
        <v>33</v>
      </c>
      <c r="R21" s="1" t="s">
        <v>34</v>
      </c>
      <c r="S21" s="1">
        <v>1.0</v>
      </c>
      <c r="T21" s="1">
        <v>1752492.0</v>
      </c>
      <c r="U21" s="1">
        <f t="shared" si="0"/>
        <v>1758305.0</v>
      </c>
    </row>
    <row r="22">
      <c r="A22" s="1">
        <v>21.0</v>
      </c>
      <c r="B22" s="1">
        <v>2.0</v>
      </c>
      <c r="C22" s="1">
        <v>7.0</v>
      </c>
      <c r="D22" s="1" t="s">
        <v>79</v>
      </c>
      <c r="E22" s="1">
        <v>162.0</v>
      </c>
      <c r="F22" s="1">
        <v>4728.0</v>
      </c>
      <c r="G22" s="1" t="s">
        <v>22</v>
      </c>
      <c r="H22" s="1" t="s">
        <v>41</v>
      </c>
      <c r="I22" s="1" t="s">
        <v>42</v>
      </c>
      <c r="J22" s="1">
        <v>4.17</v>
      </c>
      <c r="K22" s="1">
        <v>16.0</v>
      </c>
      <c r="L22" s="1">
        <v>21.0</v>
      </c>
      <c r="M22" s="1">
        <v>3897.0</v>
      </c>
      <c r="N22" s="1">
        <v>39.0</v>
      </c>
      <c r="O22" s="1">
        <v>0.0</v>
      </c>
      <c r="P22" s="1" t="s">
        <v>56</v>
      </c>
      <c r="Q22" s="1" t="s">
        <v>57</v>
      </c>
      <c r="R22" s="1" t="s">
        <v>34</v>
      </c>
      <c r="S22" s="1">
        <v>85.0</v>
      </c>
      <c r="T22" s="1">
        <v>6.510456E7</v>
      </c>
      <c r="U22" s="1">
        <f t="shared" si="0"/>
        <v>6.5108457E7</v>
      </c>
    </row>
    <row r="23">
      <c r="A23" s="1">
        <v>22.0</v>
      </c>
      <c r="B23" s="1">
        <v>3.0</v>
      </c>
      <c r="C23" s="1">
        <v>10.0</v>
      </c>
      <c r="D23" s="1" t="s">
        <v>80</v>
      </c>
      <c r="E23" s="1">
        <v>417.0</v>
      </c>
      <c r="F23" s="1">
        <v>2986.0</v>
      </c>
      <c r="G23" s="1" t="s">
        <v>36</v>
      </c>
      <c r="H23" s="1" t="s">
        <v>62</v>
      </c>
      <c r="I23" s="1" t="s">
        <v>31</v>
      </c>
      <c r="J23" s="1">
        <v>4.25</v>
      </c>
      <c r="K23" s="1">
        <v>20.0</v>
      </c>
      <c r="L23" s="1">
        <v>22.0</v>
      </c>
      <c r="M23" s="1">
        <v>6991.0</v>
      </c>
      <c r="N23" s="1">
        <v>7.0</v>
      </c>
      <c r="O23" s="1">
        <v>1.0</v>
      </c>
      <c r="P23" s="1" t="s">
        <v>43</v>
      </c>
      <c r="Q23" s="1" t="s">
        <v>26</v>
      </c>
      <c r="R23" s="1" t="s">
        <v>27</v>
      </c>
      <c r="S23" s="1">
        <v>1.0</v>
      </c>
      <c r="T23" s="1">
        <v>1245162.0</v>
      </c>
      <c r="U23" s="1">
        <f t="shared" si="0"/>
        <v>1252153.0</v>
      </c>
    </row>
    <row r="24">
      <c r="A24" s="1">
        <v>23.0</v>
      </c>
      <c r="B24" s="1">
        <v>7.0</v>
      </c>
      <c r="C24" s="1">
        <v>6.0</v>
      </c>
      <c r="D24" s="1" t="s">
        <v>81</v>
      </c>
      <c r="E24" s="1">
        <v>225.0</v>
      </c>
      <c r="F24" s="1">
        <v>4244.0</v>
      </c>
      <c r="G24" s="1" t="s">
        <v>70</v>
      </c>
      <c r="H24" s="1" t="s">
        <v>82</v>
      </c>
      <c r="I24" s="1" t="s">
        <v>83</v>
      </c>
      <c r="J24" s="1">
        <v>4.86</v>
      </c>
      <c r="K24" s="1">
        <v>21.0</v>
      </c>
      <c r="L24" s="1">
        <v>23.0</v>
      </c>
      <c r="M24" s="1">
        <v>4049.0</v>
      </c>
      <c r="N24" s="1">
        <v>21.0</v>
      </c>
      <c r="O24" s="1">
        <v>0.0</v>
      </c>
      <c r="P24" s="1" t="s">
        <v>84</v>
      </c>
      <c r="Q24" s="1" t="s">
        <v>75</v>
      </c>
      <c r="R24" s="1" t="s">
        <v>27</v>
      </c>
      <c r="S24" s="1">
        <v>115.0</v>
      </c>
      <c r="T24" s="1">
        <v>1.098135E8</v>
      </c>
      <c r="U24" s="1">
        <f t="shared" si="0"/>
        <v>1.09817549E8</v>
      </c>
    </row>
    <row r="25">
      <c r="A25" s="1">
        <v>24.0</v>
      </c>
      <c r="B25" s="1">
        <v>9.0</v>
      </c>
      <c r="C25" s="1">
        <v>6.0</v>
      </c>
      <c r="D25" s="1" t="s">
        <v>85</v>
      </c>
      <c r="E25" s="1">
        <v>117.0</v>
      </c>
      <c r="F25" s="1">
        <v>4526.0</v>
      </c>
      <c r="G25" s="1" t="s">
        <v>36</v>
      </c>
      <c r="H25" s="1" t="s">
        <v>72</v>
      </c>
      <c r="I25" s="1" t="s">
        <v>73</v>
      </c>
      <c r="J25" s="1">
        <v>3.66</v>
      </c>
      <c r="K25" s="1">
        <v>16.0</v>
      </c>
      <c r="L25" s="1">
        <v>24.0</v>
      </c>
      <c r="M25" s="1">
        <v>5936.0</v>
      </c>
      <c r="N25" s="1">
        <v>44.0</v>
      </c>
      <c r="O25" s="1">
        <v>1.0</v>
      </c>
      <c r="P25" s="1" t="s">
        <v>84</v>
      </c>
      <c r="Q25" s="1" t="s">
        <v>75</v>
      </c>
      <c r="R25" s="1" t="s">
        <v>27</v>
      </c>
      <c r="S25" s="1">
        <v>1.0</v>
      </c>
      <c r="T25" s="1">
        <v>529542.0</v>
      </c>
      <c r="U25" s="1">
        <f t="shared" si="0"/>
        <v>535478.0</v>
      </c>
    </row>
    <row r="26">
      <c r="A26" s="1">
        <v>25.0</v>
      </c>
      <c r="B26" s="1">
        <v>8.0</v>
      </c>
      <c r="C26" s="1">
        <v>4.0</v>
      </c>
      <c r="D26" s="1" t="s">
        <v>86</v>
      </c>
      <c r="E26" s="1">
        <v>269.0</v>
      </c>
      <c r="F26" s="1">
        <v>2790.0</v>
      </c>
      <c r="G26" s="1" t="s">
        <v>22</v>
      </c>
      <c r="H26" s="1" t="s">
        <v>23</v>
      </c>
      <c r="I26" s="1" t="s">
        <v>24</v>
      </c>
      <c r="J26" s="1">
        <v>3.84</v>
      </c>
      <c r="K26" s="1">
        <v>8.0</v>
      </c>
      <c r="L26" s="1">
        <v>25.0</v>
      </c>
      <c r="M26" s="1">
        <v>4375.0</v>
      </c>
      <c r="N26" s="1">
        <v>24.0</v>
      </c>
      <c r="O26" s="1">
        <v>1.0</v>
      </c>
      <c r="P26" s="1" t="s">
        <v>25</v>
      </c>
      <c r="Q26" s="1" t="s">
        <v>26</v>
      </c>
      <c r="R26" s="1" t="s">
        <v>27</v>
      </c>
      <c r="S26" s="1">
        <v>85.0</v>
      </c>
      <c r="T26" s="1">
        <v>6.379335E7</v>
      </c>
      <c r="U26" s="1">
        <f t="shared" si="0"/>
        <v>6.3797725E7</v>
      </c>
    </row>
    <row r="27">
      <c r="A27" s="1">
        <v>26.0</v>
      </c>
      <c r="B27" s="1">
        <v>10.0</v>
      </c>
      <c r="C27" s="1">
        <v>9.0</v>
      </c>
      <c r="D27" s="1" t="s">
        <v>87</v>
      </c>
      <c r="E27" s="1">
        <v>417.0</v>
      </c>
      <c r="F27" s="1">
        <v>3044.0</v>
      </c>
      <c r="G27" s="1" t="s">
        <v>36</v>
      </c>
      <c r="H27" s="1" t="s">
        <v>45</v>
      </c>
      <c r="I27" s="1" t="s">
        <v>42</v>
      </c>
      <c r="J27" s="1">
        <v>3.68</v>
      </c>
      <c r="K27" s="1">
        <v>16.0</v>
      </c>
      <c r="L27" s="1">
        <v>26.0</v>
      </c>
      <c r="M27" s="1">
        <v>7565.0</v>
      </c>
      <c r="N27" s="1">
        <v>11.0</v>
      </c>
      <c r="O27" s="1">
        <v>1.0</v>
      </c>
      <c r="P27" s="1" t="s">
        <v>74</v>
      </c>
      <c r="Q27" s="1" t="s">
        <v>75</v>
      </c>
      <c r="R27" s="1" t="s">
        <v>27</v>
      </c>
      <c r="S27" s="1">
        <v>1.0</v>
      </c>
      <c r="T27" s="1">
        <v>1269348.0</v>
      </c>
      <c r="U27" s="1">
        <f t="shared" si="0"/>
        <v>1276913.0</v>
      </c>
    </row>
    <row r="28">
      <c r="A28" s="1">
        <v>27.0</v>
      </c>
      <c r="B28" s="1">
        <v>4.0</v>
      </c>
      <c r="C28" s="1">
        <v>10.0</v>
      </c>
      <c r="D28" s="1" t="s">
        <v>88</v>
      </c>
      <c r="E28" s="1">
        <v>246.0</v>
      </c>
      <c r="F28" s="1">
        <v>3961.0</v>
      </c>
      <c r="G28" s="1" t="s">
        <v>47</v>
      </c>
      <c r="H28" s="1" t="s">
        <v>50</v>
      </c>
      <c r="I28" s="1" t="s">
        <v>51</v>
      </c>
      <c r="J28" s="1">
        <v>4.44</v>
      </c>
      <c r="K28" s="1">
        <v>14.0</v>
      </c>
      <c r="L28" s="1">
        <v>27.0</v>
      </c>
      <c r="M28" s="1">
        <v>6237.0</v>
      </c>
      <c r="N28" s="1">
        <v>8.0</v>
      </c>
      <c r="O28" s="1">
        <v>1.0</v>
      </c>
      <c r="P28" s="1" t="s">
        <v>43</v>
      </c>
      <c r="Q28" s="1" t="s">
        <v>26</v>
      </c>
      <c r="R28" s="1" t="s">
        <v>27</v>
      </c>
      <c r="S28" s="1">
        <v>95.0</v>
      </c>
      <c r="T28" s="1">
        <v>9.256857E7</v>
      </c>
      <c r="U28" s="1">
        <f t="shared" si="0"/>
        <v>9.2574807E7</v>
      </c>
    </row>
    <row r="29">
      <c r="A29" s="1">
        <v>28.0</v>
      </c>
      <c r="B29" s="1">
        <v>4.0</v>
      </c>
      <c r="C29" s="1">
        <v>9.0</v>
      </c>
      <c r="D29" s="1" t="s">
        <v>89</v>
      </c>
      <c r="E29" s="1">
        <v>475.0</v>
      </c>
      <c r="F29" s="1">
        <v>2370.0</v>
      </c>
      <c r="G29" s="1" t="s">
        <v>36</v>
      </c>
      <c r="H29" s="1" t="s">
        <v>50</v>
      </c>
      <c r="I29" s="1" t="s">
        <v>51</v>
      </c>
      <c r="J29" s="1">
        <v>4.44</v>
      </c>
      <c r="K29" s="1">
        <v>14.0</v>
      </c>
      <c r="L29" s="1">
        <v>28.0</v>
      </c>
      <c r="M29" s="1">
        <v>4012.0</v>
      </c>
      <c r="N29" s="1">
        <v>27.0</v>
      </c>
      <c r="O29" s="1">
        <v>1.0</v>
      </c>
      <c r="P29" s="1" t="s">
        <v>74</v>
      </c>
      <c r="Q29" s="1" t="s">
        <v>75</v>
      </c>
      <c r="R29" s="1" t="s">
        <v>27</v>
      </c>
      <c r="S29" s="1">
        <v>1.0</v>
      </c>
      <c r="T29" s="1">
        <v>1125750.0</v>
      </c>
      <c r="U29" s="1">
        <f t="shared" si="0"/>
        <v>1129762.0</v>
      </c>
    </row>
    <row r="30">
      <c r="A30" s="1">
        <v>29.0</v>
      </c>
      <c r="B30" s="1">
        <v>2.0</v>
      </c>
      <c r="C30" s="1">
        <v>2.0</v>
      </c>
      <c r="D30" s="1" t="s">
        <v>90</v>
      </c>
      <c r="E30" s="1">
        <v>255.0</v>
      </c>
      <c r="F30" s="1">
        <v>2813.0</v>
      </c>
      <c r="G30" s="1" t="s">
        <v>22</v>
      </c>
      <c r="H30" s="1" t="s">
        <v>41</v>
      </c>
      <c r="I30" s="1" t="s">
        <v>42</v>
      </c>
      <c r="J30" s="1">
        <v>4.17</v>
      </c>
      <c r="K30" s="1">
        <v>16.0</v>
      </c>
      <c r="L30" s="1">
        <v>29.0</v>
      </c>
      <c r="M30" s="1">
        <v>3794.0</v>
      </c>
      <c r="N30" s="1">
        <v>34.0</v>
      </c>
      <c r="O30" s="1">
        <v>1.0</v>
      </c>
      <c r="P30" s="1" t="s">
        <v>91</v>
      </c>
      <c r="Q30" s="1" t="s">
        <v>92</v>
      </c>
      <c r="R30" s="1" t="s">
        <v>34</v>
      </c>
      <c r="S30" s="1">
        <v>85.0</v>
      </c>
      <c r="T30" s="1">
        <v>6.0971775E7</v>
      </c>
      <c r="U30" s="1">
        <f t="shared" si="0"/>
        <v>6.0975569E7</v>
      </c>
    </row>
    <row r="31">
      <c r="A31" s="1">
        <v>30.0</v>
      </c>
      <c r="B31" s="1">
        <v>2.0</v>
      </c>
      <c r="C31" s="1">
        <v>8.0</v>
      </c>
      <c r="D31" s="1" t="s">
        <v>93</v>
      </c>
      <c r="E31" s="1">
        <v>271.0</v>
      </c>
      <c r="F31" s="1">
        <v>4553.0</v>
      </c>
      <c r="G31" s="1" t="s">
        <v>36</v>
      </c>
      <c r="H31" s="1" t="s">
        <v>41</v>
      </c>
      <c r="I31" s="1" t="s">
        <v>42</v>
      </c>
      <c r="J31" s="1">
        <v>4.17</v>
      </c>
      <c r="K31" s="1">
        <v>16.0</v>
      </c>
      <c r="L31" s="1">
        <v>30.0</v>
      </c>
      <c r="M31" s="1">
        <v>5020.0</v>
      </c>
      <c r="N31" s="1">
        <v>28.0</v>
      </c>
      <c r="O31" s="1">
        <v>0.0</v>
      </c>
      <c r="P31" s="1" t="s">
        <v>32</v>
      </c>
      <c r="Q31" s="1" t="s">
        <v>33</v>
      </c>
      <c r="R31" s="1" t="s">
        <v>34</v>
      </c>
      <c r="S31" s="1">
        <v>1.0</v>
      </c>
      <c r="T31" s="1">
        <v>1233863.0</v>
      </c>
      <c r="U31" s="1">
        <f t="shared" si="0"/>
        <v>1238883.0</v>
      </c>
    </row>
    <row r="32">
      <c r="A32" s="1">
        <v>31.0</v>
      </c>
      <c r="B32" s="1">
        <v>2.0</v>
      </c>
      <c r="C32" s="1">
        <v>1.0</v>
      </c>
      <c r="D32" s="1" t="s">
        <v>94</v>
      </c>
      <c r="E32" s="1">
        <v>281.0</v>
      </c>
      <c r="F32" s="1">
        <v>4148.0</v>
      </c>
      <c r="G32" s="1" t="s">
        <v>53</v>
      </c>
      <c r="H32" s="1" t="s">
        <v>41</v>
      </c>
      <c r="I32" s="1" t="s">
        <v>42</v>
      </c>
      <c r="J32" s="1">
        <v>4.17</v>
      </c>
      <c r="K32" s="1">
        <v>16.0</v>
      </c>
      <c r="L32" s="1">
        <v>31.0</v>
      </c>
      <c r="M32" s="1">
        <v>3669.0</v>
      </c>
      <c r="N32" s="1">
        <v>12.0</v>
      </c>
      <c r="O32" s="1">
        <v>0.0</v>
      </c>
      <c r="P32" s="1" t="s">
        <v>64</v>
      </c>
      <c r="Q32" s="1" t="s">
        <v>65</v>
      </c>
      <c r="R32" s="1" t="s">
        <v>27</v>
      </c>
      <c r="S32" s="1">
        <v>11.5</v>
      </c>
      <c r="T32" s="1">
        <v>1.3404262E7</v>
      </c>
      <c r="U32" s="1">
        <f t="shared" si="0"/>
        <v>1.3407931E7</v>
      </c>
    </row>
    <row r="33">
      <c r="A33" s="1">
        <v>32.0</v>
      </c>
      <c r="B33" s="1">
        <v>9.0</v>
      </c>
      <c r="C33" s="1">
        <v>10.0</v>
      </c>
      <c r="D33" s="1" t="s">
        <v>95</v>
      </c>
      <c r="E33" s="1">
        <v>379.0</v>
      </c>
      <c r="F33" s="1">
        <v>2640.0</v>
      </c>
      <c r="G33" s="1" t="s">
        <v>22</v>
      </c>
      <c r="H33" s="1" t="s">
        <v>72</v>
      </c>
      <c r="I33" s="1" t="s">
        <v>73</v>
      </c>
      <c r="J33" s="1">
        <v>3.66</v>
      </c>
      <c r="K33" s="1">
        <v>16.0</v>
      </c>
      <c r="L33" s="1">
        <v>32.0</v>
      </c>
      <c r="M33" s="1">
        <v>4872.0</v>
      </c>
      <c r="N33" s="1">
        <v>19.0</v>
      </c>
      <c r="O33" s="1">
        <v>0.0</v>
      </c>
      <c r="P33" s="1" t="s">
        <v>43</v>
      </c>
      <c r="Q33" s="1" t="s">
        <v>26</v>
      </c>
      <c r="R33" s="1" t="s">
        <v>27</v>
      </c>
      <c r="S33" s="1">
        <v>85.0</v>
      </c>
      <c r="T33" s="1">
        <v>8.50476E7</v>
      </c>
      <c r="U33" s="1">
        <f t="shared" si="0"/>
        <v>8.5052472E7</v>
      </c>
    </row>
    <row r="34">
      <c r="A34" s="1">
        <v>33.0</v>
      </c>
      <c r="B34" s="1">
        <v>9.0</v>
      </c>
      <c r="C34" s="1">
        <v>9.0</v>
      </c>
      <c r="D34" s="1" t="s">
        <v>96</v>
      </c>
      <c r="E34" s="1">
        <v>373.0</v>
      </c>
      <c r="F34" s="1">
        <v>2277.0</v>
      </c>
      <c r="G34" s="1" t="s">
        <v>53</v>
      </c>
      <c r="H34" s="1" t="s">
        <v>72</v>
      </c>
      <c r="I34" s="1" t="s">
        <v>73</v>
      </c>
      <c r="J34" s="1">
        <v>3.66</v>
      </c>
      <c r="K34" s="1">
        <v>16.0</v>
      </c>
      <c r="L34" s="1">
        <v>33.0</v>
      </c>
      <c r="M34" s="1">
        <v>5158.0</v>
      </c>
      <c r="N34" s="1">
        <v>8.0</v>
      </c>
      <c r="O34" s="1">
        <v>0.0</v>
      </c>
      <c r="P34" s="1" t="s">
        <v>74</v>
      </c>
      <c r="Q34" s="1" t="s">
        <v>75</v>
      </c>
      <c r="R34" s="1" t="s">
        <v>27</v>
      </c>
      <c r="S34" s="1">
        <v>11.5</v>
      </c>
      <c r="T34" s="1">
        <v>9767191.5</v>
      </c>
      <c r="U34" s="1">
        <f t="shared" si="0"/>
        <v>9772349.5</v>
      </c>
    </row>
    <row r="35">
      <c r="A35" s="1">
        <v>34.0</v>
      </c>
      <c r="B35" s="1">
        <v>5.0</v>
      </c>
      <c r="C35" s="1">
        <v>7.0</v>
      </c>
      <c r="D35" s="1" t="s">
        <v>97</v>
      </c>
      <c r="E35" s="1">
        <v>434.0</v>
      </c>
      <c r="F35" s="1">
        <v>4847.0</v>
      </c>
      <c r="G35" s="1" t="s">
        <v>70</v>
      </c>
      <c r="H35" s="1" t="s">
        <v>67</v>
      </c>
      <c r="I35" s="1" t="s">
        <v>68</v>
      </c>
      <c r="J35" s="1">
        <v>4.25</v>
      </c>
      <c r="K35" s="1">
        <v>13.0</v>
      </c>
      <c r="L35" s="1">
        <v>34.0</v>
      </c>
      <c r="M35" s="1">
        <v>3936.0</v>
      </c>
      <c r="N35" s="1">
        <v>14.0</v>
      </c>
      <c r="O35" s="1">
        <v>1.0</v>
      </c>
      <c r="P35" s="1" t="s">
        <v>56</v>
      </c>
      <c r="Q35" s="1" t="s">
        <v>57</v>
      </c>
      <c r="R35" s="1" t="s">
        <v>34</v>
      </c>
      <c r="S35" s="1">
        <v>115.0</v>
      </c>
      <c r="T35" s="1">
        <v>2.4191377E8</v>
      </c>
      <c r="U35" s="1">
        <f t="shared" si="0"/>
        <v>2.41917706E8</v>
      </c>
    </row>
    <row r="36">
      <c r="A36" s="1">
        <v>35.0</v>
      </c>
      <c r="B36" s="1">
        <v>3.0</v>
      </c>
      <c r="C36" s="1">
        <v>5.0</v>
      </c>
      <c r="D36" s="1" t="s">
        <v>98</v>
      </c>
      <c r="E36" s="1">
        <v>141.0</v>
      </c>
      <c r="F36" s="1">
        <v>2024.0</v>
      </c>
      <c r="G36" s="1" t="s">
        <v>22</v>
      </c>
      <c r="H36" s="1" t="s">
        <v>62</v>
      </c>
      <c r="I36" s="1" t="s">
        <v>31</v>
      </c>
      <c r="J36" s="1">
        <v>4.25</v>
      </c>
      <c r="K36" s="1">
        <v>20.0</v>
      </c>
      <c r="L36" s="1">
        <v>35.0</v>
      </c>
      <c r="M36" s="1">
        <v>7605.0</v>
      </c>
      <c r="N36" s="1">
        <v>43.0</v>
      </c>
      <c r="O36" s="1">
        <v>0.0</v>
      </c>
      <c r="P36" s="1" t="s">
        <v>37</v>
      </c>
      <c r="Q36" s="1" t="s">
        <v>38</v>
      </c>
      <c r="R36" s="1" t="s">
        <v>39</v>
      </c>
      <c r="S36" s="1">
        <v>85.0</v>
      </c>
      <c r="T36" s="1">
        <v>2.425764E7</v>
      </c>
      <c r="U36" s="1">
        <f t="shared" si="0"/>
        <v>2.4265245E7</v>
      </c>
    </row>
    <row r="37">
      <c r="A37" s="1">
        <v>36.0</v>
      </c>
      <c r="B37" s="1">
        <v>4.0</v>
      </c>
      <c r="C37" s="1">
        <v>6.0</v>
      </c>
      <c r="D37" s="1" t="s">
        <v>99</v>
      </c>
      <c r="E37" s="1">
        <v>381.0</v>
      </c>
      <c r="F37" s="1">
        <v>4985.0</v>
      </c>
      <c r="G37" s="1" t="s">
        <v>47</v>
      </c>
      <c r="H37" s="1" t="s">
        <v>50</v>
      </c>
      <c r="I37" s="1" t="s">
        <v>51</v>
      </c>
      <c r="J37" s="1">
        <v>4.44</v>
      </c>
      <c r="K37" s="1">
        <v>14.0</v>
      </c>
      <c r="L37" s="1">
        <v>36.0</v>
      </c>
      <c r="M37" s="1">
        <v>5020.0</v>
      </c>
      <c r="N37" s="1">
        <v>12.0</v>
      </c>
      <c r="O37" s="1">
        <v>0.0</v>
      </c>
      <c r="P37" s="1" t="s">
        <v>84</v>
      </c>
      <c r="Q37" s="1" t="s">
        <v>75</v>
      </c>
      <c r="R37" s="1" t="s">
        <v>27</v>
      </c>
      <c r="S37" s="1">
        <v>95.0</v>
      </c>
      <c r="T37" s="1">
        <v>1.80432075E8</v>
      </c>
      <c r="U37" s="1">
        <f t="shared" si="0"/>
        <v>1.80437095E8</v>
      </c>
    </row>
    <row r="38">
      <c r="A38" s="1">
        <v>37.0</v>
      </c>
      <c r="B38" s="1">
        <v>8.0</v>
      </c>
      <c r="C38" s="1">
        <v>9.0</v>
      </c>
      <c r="D38" s="1" t="s">
        <v>100</v>
      </c>
      <c r="E38" s="1">
        <v>317.0</v>
      </c>
      <c r="F38" s="1">
        <v>4605.0</v>
      </c>
      <c r="G38" s="1" t="s">
        <v>47</v>
      </c>
      <c r="H38" s="1" t="s">
        <v>23</v>
      </c>
      <c r="I38" s="1" t="s">
        <v>24</v>
      </c>
      <c r="J38" s="1">
        <v>3.84</v>
      </c>
      <c r="K38" s="1">
        <v>8.0</v>
      </c>
      <c r="L38" s="1">
        <v>37.0</v>
      </c>
      <c r="M38" s="1">
        <v>6120.0</v>
      </c>
      <c r="N38" s="1">
        <v>21.0</v>
      </c>
      <c r="O38" s="1">
        <v>0.0</v>
      </c>
      <c r="P38" s="1" t="s">
        <v>74</v>
      </c>
      <c r="Q38" s="1" t="s">
        <v>75</v>
      </c>
      <c r="R38" s="1" t="s">
        <v>27</v>
      </c>
      <c r="S38" s="1">
        <v>95.0</v>
      </c>
      <c r="T38" s="1">
        <v>1.38679575E8</v>
      </c>
      <c r="U38" s="1">
        <f t="shared" si="0"/>
        <v>1.38685695E8</v>
      </c>
    </row>
    <row r="39">
      <c r="A39" s="1">
        <v>38.0</v>
      </c>
      <c r="B39" s="1">
        <v>3.0</v>
      </c>
      <c r="C39" s="1">
        <v>10.0</v>
      </c>
      <c r="D39" s="1" t="s">
        <v>88</v>
      </c>
      <c r="E39" s="1">
        <v>142.0</v>
      </c>
      <c r="F39" s="1">
        <v>3409.0</v>
      </c>
      <c r="G39" s="1" t="s">
        <v>36</v>
      </c>
      <c r="H39" s="1" t="s">
        <v>62</v>
      </c>
      <c r="I39" s="1" t="s">
        <v>31</v>
      </c>
      <c r="J39" s="1">
        <v>4.25</v>
      </c>
      <c r="K39" s="1">
        <v>20.0</v>
      </c>
      <c r="L39" s="1">
        <v>38.0</v>
      </c>
      <c r="M39" s="1">
        <v>3765.0</v>
      </c>
      <c r="N39" s="1">
        <v>26.0</v>
      </c>
      <c r="O39" s="1">
        <v>0.0</v>
      </c>
      <c r="P39" s="1" t="s">
        <v>43</v>
      </c>
      <c r="Q39" s="1" t="s">
        <v>26</v>
      </c>
      <c r="R39" s="1" t="s">
        <v>27</v>
      </c>
      <c r="S39" s="1">
        <v>1.0</v>
      </c>
      <c r="T39" s="1">
        <v>484078.0</v>
      </c>
      <c r="U39" s="1">
        <f t="shared" si="0"/>
        <v>487843.0</v>
      </c>
    </row>
    <row r="40">
      <c r="A40" s="1">
        <v>39.0</v>
      </c>
      <c r="B40" s="1">
        <v>1.0</v>
      </c>
      <c r="C40" s="1">
        <v>2.0</v>
      </c>
      <c r="D40" s="1" t="s">
        <v>101</v>
      </c>
      <c r="E40" s="1">
        <v>109.0</v>
      </c>
      <c r="F40" s="1">
        <v>2099.0</v>
      </c>
      <c r="G40" s="1" t="s">
        <v>36</v>
      </c>
      <c r="H40" s="1" t="s">
        <v>30</v>
      </c>
      <c r="I40" s="1" t="s">
        <v>31</v>
      </c>
      <c r="J40" s="1">
        <v>4.65</v>
      </c>
      <c r="K40" s="1">
        <v>14.0</v>
      </c>
      <c r="L40" s="1">
        <v>39.0</v>
      </c>
      <c r="M40" s="1">
        <v>3976.0</v>
      </c>
      <c r="N40" s="1">
        <v>21.0</v>
      </c>
      <c r="O40" s="1">
        <v>1.0</v>
      </c>
      <c r="P40" s="1" t="s">
        <v>91</v>
      </c>
      <c r="Q40" s="1" t="s">
        <v>92</v>
      </c>
      <c r="R40" s="1" t="s">
        <v>34</v>
      </c>
      <c r="S40" s="1">
        <v>1.0</v>
      </c>
      <c r="T40" s="1">
        <v>228791.0</v>
      </c>
      <c r="U40" s="1">
        <f t="shared" si="0"/>
        <v>232767.0</v>
      </c>
    </row>
    <row r="41">
      <c r="A41" s="1">
        <v>40.0</v>
      </c>
      <c r="B41" s="1">
        <v>8.0</v>
      </c>
      <c r="C41" s="1">
        <v>7.0</v>
      </c>
      <c r="D41" s="1" t="s">
        <v>102</v>
      </c>
      <c r="E41" s="1">
        <v>270.0</v>
      </c>
      <c r="F41" s="1">
        <v>3510.0</v>
      </c>
      <c r="G41" s="1" t="s">
        <v>47</v>
      </c>
      <c r="H41" s="1" t="s">
        <v>23</v>
      </c>
      <c r="I41" s="1" t="s">
        <v>24</v>
      </c>
      <c r="J41" s="1">
        <v>3.84</v>
      </c>
      <c r="K41" s="1">
        <v>8.0</v>
      </c>
      <c r="L41" s="1">
        <v>40.0</v>
      </c>
      <c r="M41" s="1">
        <v>8486.0</v>
      </c>
      <c r="N41" s="1">
        <v>39.0</v>
      </c>
      <c r="O41" s="1">
        <v>0.0</v>
      </c>
      <c r="P41" s="1" t="s">
        <v>56</v>
      </c>
      <c r="Q41" s="1" t="s">
        <v>57</v>
      </c>
      <c r="R41" s="1" t="s">
        <v>34</v>
      </c>
      <c r="S41" s="1">
        <v>95.0</v>
      </c>
      <c r="T41" s="1">
        <v>9.00315E7</v>
      </c>
      <c r="U41" s="1">
        <f t="shared" si="0"/>
        <v>9.0039986E7</v>
      </c>
    </row>
    <row r="42">
      <c r="A42" s="1">
        <v>41.0</v>
      </c>
      <c r="B42" s="1">
        <v>7.0</v>
      </c>
      <c r="C42" s="1">
        <v>3.0</v>
      </c>
      <c r="D42" s="1" t="s">
        <v>103</v>
      </c>
      <c r="E42" s="1">
        <v>353.0</v>
      </c>
      <c r="F42" s="1">
        <v>3806.0</v>
      </c>
      <c r="G42" s="1" t="s">
        <v>47</v>
      </c>
      <c r="H42" s="1" t="s">
        <v>82</v>
      </c>
      <c r="I42" s="1" t="s">
        <v>83</v>
      </c>
      <c r="J42" s="1">
        <v>4.86</v>
      </c>
      <c r="K42" s="1">
        <v>21.0</v>
      </c>
      <c r="L42" s="1">
        <v>41.0</v>
      </c>
      <c r="M42" s="1">
        <v>6413.0</v>
      </c>
      <c r="N42" s="1">
        <v>43.0</v>
      </c>
      <c r="O42" s="1">
        <v>0.0</v>
      </c>
      <c r="P42" s="1" t="s">
        <v>48</v>
      </c>
      <c r="Q42" s="1" t="s">
        <v>38</v>
      </c>
      <c r="R42" s="1" t="s">
        <v>39</v>
      </c>
      <c r="S42" s="1">
        <v>95.0</v>
      </c>
      <c r="T42" s="1">
        <v>1.2763421E8</v>
      </c>
      <c r="U42" s="1">
        <f t="shared" si="0"/>
        <v>1.27640623E8</v>
      </c>
    </row>
    <row r="43">
      <c r="A43" s="1">
        <v>42.0</v>
      </c>
      <c r="B43" s="1">
        <v>2.0</v>
      </c>
      <c r="C43" s="1">
        <v>6.0</v>
      </c>
      <c r="D43" s="1" t="s">
        <v>69</v>
      </c>
      <c r="E43" s="1">
        <v>204.0</v>
      </c>
      <c r="F43" s="1">
        <v>1692.0</v>
      </c>
      <c r="G43" s="1" t="s">
        <v>47</v>
      </c>
      <c r="H43" s="1" t="s">
        <v>41</v>
      </c>
      <c r="I43" s="1" t="s">
        <v>42</v>
      </c>
      <c r="J43" s="1">
        <v>4.17</v>
      </c>
      <c r="K43" s="1">
        <v>16.0</v>
      </c>
      <c r="L43" s="1">
        <v>42.0</v>
      </c>
      <c r="M43" s="1">
        <v>3273.0</v>
      </c>
      <c r="N43" s="1">
        <v>21.0</v>
      </c>
      <c r="O43" s="1">
        <v>1.0</v>
      </c>
      <c r="P43" s="1" t="s">
        <v>84</v>
      </c>
      <c r="Q43" s="1" t="s">
        <v>75</v>
      </c>
      <c r="R43" s="1" t="s">
        <v>27</v>
      </c>
      <c r="S43" s="1">
        <v>95.0</v>
      </c>
      <c r="T43" s="1">
        <v>3.279096E7</v>
      </c>
      <c r="U43" s="1">
        <f t="shared" si="0"/>
        <v>3.2794233E7</v>
      </c>
    </row>
    <row r="44">
      <c r="A44" s="1">
        <v>43.0</v>
      </c>
      <c r="B44" s="1">
        <v>4.0</v>
      </c>
      <c r="C44" s="1">
        <v>9.0</v>
      </c>
      <c r="D44" s="1" t="s">
        <v>104</v>
      </c>
      <c r="E44" s="1">
        <v>470.0</v>
      </c>
      <c r="F44" s="1">
        <v>3859.0</v>
      </c>
      <c r="G44" s="1" t="s">
        <v>36</v>
      </c>
      <c r="H44" s="1" t="s">
        <v>50</v>
      </c>
      <c r="I44" s="1" t="s">
        <v>51</v>
      </c>
      <c r="J44" s="1">
        <v>4.44</v>
      </c>
      <c r="K44" s="1">
        <v>14.0</v>
      </c>
      <c r="L44" s="1">
        <v>43.0</v>
      </c>
      <c r="M44" s="1">
        <v>6834.0</v>
      </c>
      <c r="N44" s="1">
        <v>8.0</v>
      </c>
      <c r="O44" s="1">
        <v>0.0</v>
      </c>
      <c r="P44" s="1" t="s">
        <v>74</v>
      </c>
      <c r="Q44" s="1" t="s">
        <v>75</v>
      </c>
      <c r="R44" s="1" t="s">
        <v>27</v>
      </c>
      <c r="S44" s="1">
        <v>1.0</v>
      </c>
      <c r="T44" s="1">
        <v>1813730.0</v>
      </c>
      <c r="U44" s="1">
        <f t="shared" si="0"/>
        <v>1820564.0</v>
      </c>
    </row>
    <row r="45">
      <c r="A45" s="1">
        <v>44.0</v>
      </c>
      <c r="B45" s="1">
        <v>6.0</v>
      </c>
      <c r="C45" s="1">
        <v>6.0</v>
      </c>
      <c r="D45" s="1" t="s">
        <v>90</v>
      </c>
      <c r="E45" s="1">
        <v>325.0</v>
      </c>
      <c r="F45" s="1">
        <v>2276.0</v>
      </c>
      <c r="G45" s="1" t="s">
        <v>53</v>
      </c>
      <c r="H45" s="1" t="s">
        <v>54</v>
      </c>
      <c r="I45" s="1" t="s">
        <v>51</v>
      </c>
      <c r="J45" s="1">
        <v>3.89</v>
      </c>
      <c r="K45" s="1">
        <v>21.0</v>
      </c>
      <c r="L45" s="1">
        <v>44.0</v>
      </c>
      <c r="M45" s="1">
        <v>5715.0</v>
      </c>
      <c r="N45" s="1">
        <v>24.0</v>
      </c>
      <c r="O45" s="1">
        <v>0.0</v>
      </c>
      <c r="P45" s="1" t="s">
        <v>84</v>
      </c>
      <c r="Q45" s="1" t="s">
        <v>75</v>
      </c>
      <c r="R45" s="1" t="s">
        <v>27</v>
      </c>
      <c r="S45" s="1">
        <v>11.5</v>
      </c>
      <c r="T45" s="1">
        <v>8506550.0</v>
      </c>
      <c r="U45" s="1">
        <f t="shared" si="0"/>
        <v>8512265.0</v>
      </c>
    </row>
    <row r="46">
      <c r="A46" s="1">
        <v>45.0</v>
      </c>
      <c r="B46" s="1">
        <v>9.0</v>
      </c>
      <c r="C46" s="1">
        <v>3.0</v>
      </c>
      <c r="D46" s="1" t="s">
        <v>105</v>
      </c>
      <c r="E46" s="1">
        <v>139.0</v>
      </c>
      <c r="F46" s="1">
        <v>3849.0</v>
      </c>
      <c r="G46" s="1" t="s">
        <v>70</v>
      </c>
      <c r="H46" s="1" t="s">
        <v>72</v>
      </c>
      <c r="I46" s="1" t="s">
        <v>73</v>
      </c>
      <c r="J46" s="1">
        <v>3.66</v>
      </c>
      <c r="K46" s="1">
        <v>16.0</v>
      </c>
      <c r="L46" s="1">
        <v>45.0</v>
      </c>
      <c r="M46" s="1">
        <v>3109.0</v>
      </c>
      <c r="N46" s="1">
        <v>26.0</v>
      </c>
      <c r="O46" s="1">
        <v>1.0</v>
      </c>
      <c r="P46" s="1" t="s">
        <v>48</v>
      </c>
      <c r="Q46" s="1" t="s">
        <v>38</v>
      </c>
      <c r="R46" s="1" t="s">
        <v>39</v>
      </c>
      <c r="S46" s="1">
        <v>115.0</v>
      </c>
      <c r="T46" s="1">
        <v>6.1526265E7</v>
      </c>
      <c r="U46" s="1">
        <f t="shared" si="0"/>
        <v>6.1529374E7</v>
      </c>
    </row>
    <row r="47">
      <c r="A47" s="1">
        <v>46.0</v>
      </c>
      <c r="B47" s="1">
        <v>4.0</v>
      </c>
      <c r="C47" s="1">
        <v>9.0</v>
      </c>
      <c r="D47" s="1" t="s">
        <v>106</v>
      </c>
      <c r="E47" s="1">
        <v>383.0</v>
      </c>
      <c r="F47" s="1">
        <v>1580.0</v>
      </c>
      <c r="G47" s="1" t="s">
        <v>47</v>
      </c>
      <c r="H47" s="1" t="s">
        <v>50</v>
      </c>
      <c r="I47" s="1" t="s">
        <v>51</v>
      </c>
      <c r="J47" s="1">
        <v>4.44</v>
      </c>
      <c r="K47" s="1">
        <v>14.0</v>
      </c>
      <c r="L47" s="1">
        <v>46.0</v>
      </c>
      <c r="M47" s="1">
        <v>8033.0</v>
      </c>
      <c r="N47" s="1">
        <v>36.0</v>
      </c>
      <c r="O47" s="1">
        <v>0.0</v>
      </c>
      <c r="P47" s="1" t="s">
        <v>74</v>
      </c>
      <c r="Q47" s="1" t="s">
        <v>75</v>
      </c>
      <c r="R47" s="1" t="s">
        <v>27</v>
      </c>
      <c r="S47" s="1">
        <v>95.0</v>
      </c>
      <c r="T47" s="1">
        <v>5.74883E7</v>
      </c>
      <c r="U47" s="1">
        <f t="shared" si="0"/>
        <v>5.7496333E7</v>
      </c>
    </row>
    <row r="48">
      <c r="A48" s="1">
        <v>47.0</v>
      </c>
      <c r="B48" s="1">
        <v>9.0</v>
      </c>
      <c r="C48" s="1">
        <v>1.0</v>
      </c>
      <c r="D48" s="1" t="s">
        <v>107</v>
      </c>
      <c r="E48" s="1">
        <v>205.0</v>
      </c>
      <c r="F48" s="1">
        <v>3507.0</v>
      </c>
      <c r="G48" s="1" t="s">
        <v>47</v>
      </c>
      <c r="H48" s="1" t="s">
        <v>72</v>
      </c>
      <c r="I48" s="1" t="s">
        <v>73</v>
      </c>
      <c r="J48" s="1">
        <v>3.66</v>
      </c>
      <c r="K48" s="1">
        <v>16.0</v>
      </c>
      <c r="L48" s="1">
        <v>47.0</v>
      </c>
      <c r="M48" s="1">
        <v>3969.0</v>
      </c>
      <c r="N48" s="1">
        <v>34.0</v>
      </c>
      <c r="O48" s="1">
        <v>0.0</v>
      </c>
      <c r="P48" s="1" t="s">
        <v>64</v>
      </c>
      <c r="Q48" s="1" t="s">
        <v>65</v>
      </c>
      <c r="R48" s="1" t="s">
        <v>27</v>
      </c>
      <c r="S48" s="1">
        <v>95.0</v>
      </c>
      <c r="T48" s="1">
        <v>6.8298825E7</v>
      </c>
      <c r="U48" s="1">
        <f t="shared" si="0"/>
        <v>6.8302794E7</v>
      </c>
    </row>
    <row r="49">
      <c r="A49" s="1">
        <v>48.0</v>
      </c>
      <c r="B49" s="1">
        <v>7.0</v>
      </c>
      <c r="C49" s="1">
        <v>9.0</v>
      </c>
      <c r="D49" s="1" t="s">
        <v>108</v>
      </c>
      <c r="E49" s="1">
        <v>373.0</v>
      </c>
      <c r="F49" s="1">
        <v>1706.0</v>
      </c>
      <c r="G49" s="1" t="s">
        <v>36</v>
      </c>
      <c r="H49" s="1" t="s">
        <v>82</v>
      </c>
      <c r="I49" s="1" t="s">
        <v>83</v>
      </c>
      <c r="J49" s="1">
        <v>4.86</v>
      </c>
      <c r="K49" s="1">
        <v>21.0</v>
      </c>
      <c r="L49" s="1">
        <v>48.0</v>
      </c>
      <c r="M49" s="1">
        <v>8752.0</v>
      </c>
      <c r="N49" s="1">
        <v>23.0</v>
      </c>
      <c r="O49" s="1">
        <v>1.0</v>
      </c>
      <c r="P49" s="1" t="s">
        <v>74</v>
      </c>
      <c r="Q49" s="1" t="s">
        <v>75</v>
      </c>
      <c r="R49" s="1" t="s">
        <v>27</v>
      </c>
      <c r="S49" s="1">
        <v>1.0</v>
      </c>
      <c r="T49" s="1">
        <v>636338.0</v>
      </c>
      <c r="U49" s="1">
        <f t="shared" si="0"/>
        <v>645090.0</v>
      </c>
    </row>
    <row r="50">
      <c r="A50" s="1">
        <v>49.0</v>
      </c>
      <c r="B50" s="1">
        <v>8.0</v>
      </c>
      <c r="C50" s="1">
        <v>2.0</v>
      </c>
      <c r="D50" s="1" t="s">
        <v>109</v>
      </c>
      <c r="E50" s="1">
        <v>403.0</v>
      </c>
      <c r="F50" s="1">
        <v>3671.0</v>
      </c>
      <c r="G50" s="1" t="s">
        <v>47</v>
      </c>
      <c r="H50" s="1" t="s">
        <v>23</v>
      </c>
      <c r="I50" s="1" t="s">
        <v>24</v>
      </c>
      <c r="J50" s="1">
        <v>3.84</v>
      </c>
      <c r="K50" s="1">
        <v>8.0</v>
      </c>
      <c r="L50" s="1">
        <v>49.0</v>
      </c>
      <c r="M50" s="1">
        <v>4923.0</v>
      </c>
      <c r="N50" s="1">
        <v>33.0</v>
      </c>
      <c r="O50" s="1">
        <v>1.0</v>
      </c>
      <c r="P50" s="1" t="s">
        <v>91</v>
      </c>
      <c r="Q50" s="1" t="s">
        <v>92</v>
      </c>
      <c r="R50" s="1" t="s">
        <v>34</v>
      </c>
      <c r="S50" s="1">
        <v>95.0</v>
      </c>
      <c r="T50" s="1">
        <v>1.40544235E8</v>
      </c>
      <c r="U50" s="1">
        <f t="shared" si="0"/>
        <v>1.40549158E8</v>
      </c>
    </row>
    <row r="51">
      <c r="A51" s="1">
        <v>50.0</v>
      </c>
      <c r="B51" s="1">
        <v>9.0</v>
      </c>
      <c r="C51" s="1">
        <v>1.0</v>
      </c>
      <c r="D51" s="1" t="s">
        <v>110</v>
      </c>
      <c r="E51" s="1">
        <v>193.0</v>
      </c>
      <c r="F51" s="1">
        <v>4013.0</v>
      </c>
      <c r="G51" s="1" t="s">
        <v>29</v>
      </c>
      <c r="H51" s="1" t="s">
        <v>72</v>
      </c>
      <c r="I51" s="1" t="s">
        <v>73</v>
      </c>
      <c r="J51" s="1">
        <v>3.66</v>
      </c>
      <c r="K51" s="1">
        <v>16.0</v>
      </c>
      <c r="L51" s="1">
        <v>50.0</v>
      </c>
      <c r="M51" s="1">
        <v>9481.0</v>
      </c>
      <c r="N51" s="1">
        <v>33.0</v>
      </c>
      <c r="O51" s="1">
        <v>1.0</v>
      </c>
      <c r="P51" s="1" t="s">
        <v>64</v>
      </c>
      <c r="Q51" s="1" t="s">
        <v>65</v>
      </c>
      <c r="R51" s="1" t="s">
        <v>27</v>
      </c>
      <c r="S51" s="1">
        <v>0.7</v>
      </c>
      <c r="T51" s="1">
        <v>542156.3</v>
      </c>
      <c r="U51" s="1">
        <f t="shared" si="0"/>
        <v>551637.3</v>
      </c>
    </row>
    <row r="52">
      <c r="A52" s="1">
        <v>51.0</v>
      </c>
      <c r="B52" s="1">
        <v>9.0</v>
      </c>
      <c r="C52" s="1">
        <v>7.0</v>
      </c>
      <c r="D52" s="1" t="s">
        <v>111</v>
      </c>
      <c r="E52" s="1">
        <v>349.0</v>
      </c>
      <c r="F52" s="1">
        <v>3640.0</v>
      </c>
      <c r="G52" s="1" t="s">
        <v>47</v>
      </c>
      <c r="H52" s="1" t="s">
        <v>72</v>
      </c>
      <c r="I52" s="1" t="s">
        <v>73</v>
      </c>
      <c r="J52" s="1">
        <v>3.66</v>
      </c>
      <c r="K52" s="1">
        <v>16.0</v>
      </c>
      <c r="L52" s="1">
        <v>51.0</v>
      </c>
      <c r="M52" s="1">
        <v>3173.0</v>
      </c>
      <c r="N52" s="1">
        <v>30.0</v>
      </c>
      <c r="O52" s="1">
        <v>1.0</v>
      </c>
      <c r="P52" s="1" t="s">
        <v>56</v>
      </c>
      <c r="Q52" s="1" t="s">
        <v>57</v>
      </c>
      <c r="R52" s="1" t="s">
        <v>34</v>
      </c>
      <c r="S52" s="1">
        <v>95.0</v>
      </c>
      <c r="T52" s="1">
        <v>1.206842E8</v>
      </c>
      <c r="U52" s="1">
        <f t="shared" si="0"/>
        <v>1.20687373E8</v>
      </c>
    </row>
    <row r="53">
      <c r="A53" s="1">
        <v>52.0</v>
      </c>
      <c r="B53" s="1">
        <v>6.0</v>
      </c>
      <c r="C53" s="1">
        <v>8.0</v>
      </c>
      <c r="D53" s="1" t="s">
        <v>112</v>
      </c>
      <c r="E53" s="1">
        <v>373.0</v>
      </c>
      <c r="F53" s="1">
        <v>2184.0</v>
      </c>
      <c r="G53" s="1" t="s">
        <v>47</v>
      </c>
      <c r="H53" s="1" t="s">
        <v>54</v>
      </c>
      <c r="I53" s="1" t="s">
        <v>51</v>
      </c>
      <c r="J53" s="1">
        <v>3.89</v>
      </c>
      <c r="K53" s="1">
        <v>21.0</v>
      </c>
      <c r="L53" s="1">
        <v>52.0</v>
      </c>
      <c r="M53" s="1">
        <v>4622.0</v>
      </c>
      <c r="N53" s="1">
        <v>37.0</v>
      </c>
      <c r="O53" s="1">
        <v>1.0</v>
      </c>
      <c r="P53" s="1" t="s">
        <v>32</v>
      </c>
      <c r="Q53" s="1" t="s">
        <v>33</v>
      </c>
      <c r="R53" s="1" t="s">
        <v>34</v>
      </c>
      <c r="S53" s="1">
        <v>95.0</v>
      </c>
      <c r="T53" s="1">
        <v>7.739004E7</v>
      </c>
      <c r="U53" s="1">
        <f t="shared" si="0"/>
        <v>7.7394662E7</v>
      </c>
    </row>
    <row r="54">
      <c r="A54" s="1">
        <v>53.0</v>
      </c>
      <c r="B54" s="1">
        <v>8.0</v>
      </c>
      <c r="C54" s="1">
        <v>9.0</v>
      </c>
      <c r="D54" s="1" t="s">
        <v>95</v>
      </c>
      <c r="E54" s="1">
        <v>138.0</v>
      </c>
      <c r="F54" s="1">
        <v>3163.0</v>
      </c>
      <c r="G54" s="1" t="s">
        <v>29</v>
      </c>
      <c r="H54" s="1" t="s">
        <v>23</v>
      </c>
      <c r="I54" s="1" t="s">
        <v>24</v>
      </c>
      <c r="J54" s="1">
        <v>3.84</v>
      </c>
      <c r="K54" s="1">
        <v>8.0</v>
      </c>
      <c r="L54" s="1">
        <v>53.0</v>
      </c>
      <c r="M54" s="1">
        <v>7419.0</v>
      </c>
      <c r="N54" s="1">
        <v>17.0</v>
      </c>
      <c r="O54" s="1">
        <v>1.0</v>
      </c>
      <c r="P54" s="1" t="s">
        <v>74</v>
      </c>
      <c r="Q54" s="1" t="s">
        <v>75</v>
      </c>
      <c r="R54" s="1" t="s">
        <v>27</v>
      </c>
      <c r="S54" s="1">
        <v>0.7</v>
      </c>
      <c r="T54" s="1">
        <v>305545.8</v>
      </c>
      <c r="U54" s="1">
        <f t="shared" si="0"/>
        <v>312964.8</v>
      </c>
    </row>
    <row r="55">
      <c r="A55" s="1">
        <v>54.0</v>
      </c>
      <c r="B55" s="1">
        <v>4.0</v>
      </c>
      <c r="C55" s="1">
        <v>4.0</v>
      </c>
      <c r="D55" s="1" t="s">
        <v>113</v>
      </c>
      <c r="E55" s="1">
        <v>223.0</v>
      </c>
      <c r="F55" s="1">
        <v>2813.0</v>
      </c>
      <c r="G55" s="1" t="s">
        <v>29</v>
      </c>
      <c r="H55" s="1" t="s">
        <v>50</v>
      </c>
      <c r="I55" s="1" t="s">
        <v>51</v>
      </c>
      <c r="J55" s="1">
        <v>4.44</v>
      </c>
      <c r="K55" s="1">
        <v>14.0</v>
      </c>
      <c r="L55" s="1">
        <v>54.0</v>
      </c>
      <c r="M55" s="1">
        <v>5901.0</v>
      </c>
      <c r="N55" s="1">
        <v>35.0</v>
      </c>
      <c r="O55" s="1">
        <v>1.0</v>
      </c>
      <c r="P55" s="1" t="s">
        <v>25</v>
      </c>
      <c r="Q55" s="1" t="s">
        <v>26</v>
      </c>
      <c r="R55" s="1" t="s">
        <v>27</v>
      </c>
      <c r="S55" s="1">
        <v>0.7</v>
      </c>
      <c r="T55" s="1">
        <v>439109.3</v>
      </c>
      <c r="U55" s="1">
        <f t="shared" si="0"/>
        <v>445010.3</v>
      </c>
    </row>
    <row r="56">
      <c r="A56" s="1">
        <v>55.0</v>
      </c>
      <c r="B56" s="1">
        <v>5.0</v>
      </c>
      <c r="C56" s="1">
        <v>4.0</v>
      </c>
      <c r="D56" s="1" t="s">
        <v>114</v>
      </c>
      <c r="E56" s="1">
        <v>268.0</v>
      </c>
      <c r="F56" s="1">
        <v>3180.0</v>
      </c>
      <c r="G56" s="1" t="s">
        <v>53</v>
      </c>
      <c r="H56" s="1" t="s">
        <v>67</v>
      </c>
      <c r="I56" s="1" t="s">
        <v>68</v>
      </c>
      <c r="J56" s="1">
        <v>4.25</v>
      </c>
      <c r="K56" s="1">
        <v>13.0</v>
      </c>
      <c r="L56" s="1">
        <v>55.0</v>
      </c>
      <c r="M56" s="1">
        <v>6953.0</v>
      </c>
      <c r="N56" s="1">
        <v>10.0</v>
      </c>
      <c r="O56" s="1">
        <v>1.0</v>
      </c>
      <c r="P56" s="1" t="s">
        <v>25</v>
      </c>
      <c r="Q56" s="1" t="s">
        <v>26</v>
      </c>
      <c r="R56" s="1" t="s">
        <v>27</v>
      </c>
      <c r="S56" s="1">
        <v>11.5</v>
      </c>
      <c r="T56" s="1">
        <v>9800760.0</v>
      </c>
      <c r="U56" s="1">
        <f t="shared" si="0"/>
        <v>9807713.0</v>
      </c>
    </row>
    <row r="57">
      <c r="A57" s="1">
        <v>56.0</v>
      </c>
      <c r="B57" s="1">
        <v>1.0</v>
      </c>
      <c r="C57" s="1">
        <v>9.0</v>
      </c>
      <c r="D57" s="1" t="s">
        <v>112</v>
      </c>
      <c r="E57" s="1">
        <v>111.0</v>
      </c>
      <c r="F57" s="1">
        <v>1586.0</v>
      </c>
      <c r="G57" s="1" t="s">
        <v>36</v>
      </c>
      <c r="H57" s="1" t="s">
        <v>30</v>
      </c>
      <c r="I57" s="1" t="s">
        <v>31</v>
      </c>
      <c r="J57" s="1">
        <v>4.65</v>
      </c>
      <c r="K57" s="1">
        <v>14.0</v>
      </c>
      <c r="L57" s="1">
        <v>56.0</v>
      </c>
      <c r="M57" s="1">
        <v>9240.0</v>
      </c>
      <c r="N57" s="1">
        <v>22.0</v>
      </c>
      <c r="O57" s="1">
        <v>0.0</v>
      </c>
      <c r="P57" s="1" t="s">
        <v>74</v>
      </c>
      <c r="Q57" s="1" t="s">
        <v>75</v>
      </c>
      <c r="R57" s="1" t="s">
        <v>27</v>
      </c>
      <c r="S57" s="1">
        <v>1.0</v>
      </c>
      <c r="T57" s="1">
        <v>176046.0</v>
      </c>
      <c r="U57" s="1">
        <f t="shared" si="0"/>
        <v>185286.0</v>
      </c>
    </row>
    <row r="58">
      <c r="A58" s="1">
        <v>57.0</v>
      </c>
      <c r="B58" s="1">
        <v>8.0</v>
      </c>
      <c r="C58" s="1">
        <v>4.0</v>
      </c>
      <c r="D58" s="1" t="s">
        <v>115</v>
      </c>
      <c r="E58" s="1">
        <v>131.0</v>
      </c>
      <c r="F58" s="1">
        <v>2783.0</v>
      </c>
      <c r="G58" s="1" t="s">
        <v>47</v>
      </c>
      <c r="H58" s="1" t="s">
        <v>23</v>
      </c>
      <c r="I58" s="1" t="s">
        <v>24</v>
      </c>
      <c r="J58" s="1">
        <v>3.84</v>
      </c>
      <c r="K58" s="1">
        <v>8.0</v>
      </c>
      <c r="L58" s="1">
        <v>57.0</v>
      </c>
      <c r="M58" s="1">
        <v>5312.0</v>
      </c>
      <c r="N58" s="1">
        <v>24.0</v>
      </c>
      <c r="O58" s="1">
        <v>0.0</v>
      </c>
      <c r="P58" s="1" t="s">
        <v>25</v>
      </c>
      <c r="Q58" s="1" t="s">
        <v>26</v>
      </c>
      <c r="R58" s="1" t="s">
        <v>27</v>
      </c>
      <c r="S58" s="1">
        <v>95.0</v>
      </c>
      <c r="T58" s="1">
        <v>3.4634435E7</v>
      </c>
      <c r="U58" s="1">
        <f t="shared" si="0"/>
        <v>3.4639747E7</v>
      </c>
    </row>
    <row r="59">
      <c r="A59" s="1">
        <v>58.0</v>
      </c>
      <c r="B59" s="1">
        <v>7.0</v>
      </c>
      <c r="C59" s="1">
        <v>9.0</v>
      </c>
      <c r="D59" s="1" t="s">
        <v>116</v>
      </c>
      <c r="E59" s="1">
        <v>445.0</v>
      </c>
      <c r="F59" s="1">
        <v>3903.0</v>
      </c>
      <c r="G59" s="1" t="s">
        <v>47</v>
      </c>
      <c r="H59" s="1" t="s">
        <v>82</v>
      </c>
      <c r="I59" s="1" t="s">
        <v>83</v>
      </c>
      <c r="J59" s="1">
        <v>4.86</v>
      </c>
      <c r="K59" s="1">
        <v>21.0</v>
      </c>
      <c r="L59" s="1">
        <v>58.0</v>
      </c>
      <c r="M59" s="1">
        <v>9985.0</v>
      </c>
      <c r="N59" s="1">
        <v>13.0</v>
      </c>
      <c r="O59" s="1">
        <v>1.0</v>
      </c>
      <c r="P59" s="1" t="s">
        <v>74</v>
      </c>
      <c r="Q59" s="1" t="s">
        <v>75</v>
      </c>
      <c r="R59" s="1" t="s">
        <v>27</v>
      </c>
      <c r="S59" s="1">
        <v>95.0</v>
      </c>
      <c r="T59" s="1">
        <v>1.64999325E8</v>
      </c>
      <c r="U59" s="1">
        <f t="shared" si="0"/>
        <v>1.6500931E8</v>
      </c>
    </row>
    <row r="60">
      <c r="A60" s="1">
        <v>59.0</v>
      </c>
      <c r="B60" s="1">
        <v>9.0</v>
      </c>
      <c r="C60" s="1">
        <v>1.0</v>
      </c>
      <c r="D60" s="1" t="s">
        <v>117</v>
      </c>
      <c r="E60" s="1">
        <v>447.0</v>
      </c>
      <c r="F60" s="1">
        <v>2519.0</v>
      </c>
      <c r="G60" s="1" t="s">
        <v>29</v>
      </c>
      <c r="H60" s="1" t="s">
        <v>72</v>
      </c>
      <c r="I60" s="1" t="s">
        <v>73</v>
      </c>
      <c r="J60" s="1">
        <v>3.66</v>
      </c>
      <c r="K60" s="1">
        <v>16.0</v>
      </c>
      <c r="L60" s="1">
        <v>59.0</v>
      </c>
      <c r="M60" s="1">
        <v>6263.0</v>
      </c>
      <c r="N60" s="1">
        <v>33.0</v>
      </c>
      <c r="O60" s="1">
        <v>0.0</v>
      </c>
      <c r="P60" s="1" t="s">
        <v>64</v>
      </c>
      <c r="Q60" s="1" t="s">
        <v>65</v>
      </c>
      <c r="R60" s="1" t="s">
        <v>27</v>
      </c>
      <c r="S60" s="1">
        <v>0.7</v>
      </c>
      <c r="T60" s="1">
        <v>788195.1</v>
      </c>
      <c r="U60" s="1">
        <f t="shared" si="0"/>
        <v>794458.1</v>
      </c>
    </row>
    <row r="61">
      <c r="A61" s="1">
        <v>60.0</v>
      </c>
      <c r="B61" s="1">
        <v>10.0</v>
      </c>
      <c r="C61" s="1">
        <v>4.0</v>
      </c>
      <c r="D61" s="1" t="s">
        <v>118</v>
      </c>
      <c r="E61" s="1">
        <v>484.0</v>
      </c>
      <c r="F61" s="1">
        <v>3420.0</v>
      </c>
      <c r="G61" s="1" t="s">
        <v>36</v>
      </c>
      <c r="H61" s="1" t="s">
        <v>45</v>
      </c>
      <c r="I61" s="1" t="s">
        <v>42</v>
      </c>
      <c r="J61" s="1">
        <v>3.68</v>
      </c>
      <c r="K61" s="1">
        <v>16.0</v>
      </c>
      <c r="L61" s="1">
        <v>60.0</v>
      </c>
      <c r="M61" s="1">
        <v>6158.0</v>
      </c>
      <c r="N61" s="1">
        <v>45.0</v>
      </c>
      <c r="O61" s="1">
        <v>1.0</v>
      </c>
      <c r="P61" s="1" t="s">
        <v>25</v>
      </c>
      <c r="Q61" s="1" t="s">
        <v>26</v>
      </c>
      <c r="R61" s="1" t="s">
        <v>27</v>
      </c>
      <c r="S61" s="1">
        <v>1.0</v>
      </c>
      <c r="T61" s="1">
        <v>1655280.0</v>
      </c>
      <c r="U61" s="1">
        <f t="shared" si="0"/>
        <v>1661438.0</v>
      </c>
    </row>
    <row r="62">
      <c r="A62" s="1">
        <v>61.0</v>
      </c>
      <c r="B62" s="1">
        <v>4.0</v>
      </c>
      <c r="C62" s="1">
        <v>1.0</v>
      </c>
      <c r="D62" s="1" t="s">
        <v>119</v>
      </c>
      <c r="E62" s="1">
        <v>368.0</v>
      </c>
      <c r="F62" s="1">
        <v>2975.0</v>
      </c>
      <c r="G62" s="1" t="s">
        <v>22</v>
      </c>
      <c r="H62" s="1" t="s">
        <v>50</v>
      </c>
      <c r="I62" s="1" t="s">
        <v>51</v>
      </c>
      <c r="J62" s="1">
        <v>4.44</v>
      </c>
      <c r="K62" s="1">
        <v>14.0</v>
      </c>
      <c r="L62" s="1">
        <v>61.0</v>
      </c>
      <c r="M62" s="1">
        <v>3311.0</v>
      </c>
      <c r="N62" s="1">
        <v>22.0</v>
      </c>
      <c r="O62" s="1">
        <v>0.0</v>
      </c>
      <c r="P62" s="1" t="s">
        <v>64</v>
      </c>
      <c r="Q62" s="1" t="s">
        <v>65</v>
      </c>
      <c r="R62" s="1" t="s">
        <v>27</v>
      </c>
      <c r="S62" s="1">
        <v>85.0</v>
      </c>
      <c r="T62" s="1">
        <v>9.3058E7</v>
      </c>
      <c r="U62" s="1">
        <f t="shared" si="0"/>
        <v>9.3061311E7</v>
      </c>
    </row>
    <row r="63">
      <c r="A63" s="1">
        <v>62.0</v>
      </c>
      <c r="B63" s="1">
        <v>10.0</v>
      </c>
      <c r="C63" s="1">
        <v>5.0</v>
      </c>
      <c r="D63" s="1" t="s">
        <v>120</v>
      </c>
      <c r="E63" s="1">
        <v>304.0</v>
      </c>
      <c r="F63" s="1">
        <v>2868.0</v>
      </c>
      <c r="G63" s="1" t="s">
        <v>53</v>
      </c>
      <c r="H63" s="1" t="s">
        <v>45</v>
      </c>
      <c r="I63" s="1" t="s">
        <v>42</v>
      </c>
      <c r="J63" s="1">
        <v>3.68</v>
      </c>
      <c r="K63" s="1">
        <v>16.0</v>
      </c>
      <c r="L63" s="1">
        <v>62.0</v>
      </c>
      <c r="M63" s="1">
        <v>4372.0</v>
      </c>
      <c r="N63" s="1">
        <v>30.0</v>
      </c>
      <c r="O63" s="1">
        <v>0.0</v>
      </c>
      <c r="P63" s="1" t="s">
        <v>37</v>
      </c>
      <c r="Q63" s="1" t="s">
        <v>38</v>
      </c>
      <c r="R63" s="1" t="s">
        <v>39</v>
      </c>
      <c r="S63" s="1">
        <v>11.5</v>
      </c>
      <c r="T63" s="1">
        <v>1.0026528E7</v>
      </c>
      <c r="U63" s="1">
        <f t="shared" si="0"/>
        <v>1.00309E7</v>
      </c>
    </row>
    <row r="64">
      <c r="A64" s="1">
        <v>63.0</v>
      </c>
      <c r="B64" s="1">
        <v>3.0</v>
      </c>
      <c r="C64" s="1">
        <v>4.0</v>
      </c>
      <c r="D64" s="1" t="s">
        <v>121</v>
      </c>
      <c r="E64" s="1">
        <v>226.0</v>
      </c>
      <c r="F64" s="1">
        <v>3134.0</v>
      </c>
      <c r="G64" s="1" t="s">
        <v>53</v>
      </c>
      <c r="H64" s="1" t="s">
        <v>62</v>
      </c>
      <c r="I64" s="1" t="s">
        <v>31</v>
      </c>
      <c r="J64" s="1">
        <v>4.25</v>
      </c>
      <c r="K64" s="1">
        <v>20.0</v>
      </c>
      <c r="L64" s="1">
        <v>63.0</v>
      </c>
      <c r="M64" s="1">
        <v>5151.0</v>
      </c>
      <c r="N64" s="1">
        <v>12.0</v>
      </c>
      <c r="O64" s="1">
        <v>1.0</v>
      </c>
      <c r="P64" s="1" t="s">
        <v>25</v>
      </c>
      <c r="Q64" s="1" t="s">
        <v>26</v>
      </c>
      <c r="R64" s="1" t="s">
        <v>27</v>
      </c>
      <c r="S64" s="1">
        <v>11.5</v>
      </c>
      <c r="T64" s="1">
        <v>8145266.0</v>
      </c>
      <c r="U64" s="1">
        <f t="shared" si="0"/>
        <v>8150417.0</v>
      </c>
    </row>
    <row r="65">
      <c r="A65" s="1">
        <v>64.0</v>
      </c>
      <c r="B65" s="1">
        <v>4.0</v>
      </c>
      <c r="C65" s="1">
        <v>1.0</v>
      </c>
      <c r="D65" s="1" t="s">
        <v>122</v>
      </c>
      <c r="E65" s="1">
        <v>376.0</v>
      </c>
      <c r="F65" s="1">
        <v>4730.0</v>
      </c>
      <c r="G65" s="1" t="s">
        <v>47</v>
      </c>
      <c r="H65" s="1" t="s">
        <v>50</v>
      </c>
      <c r="I65" s="1" t="s">
        <v>51</v>
      </c>
      <c r="J65" s="1">
        <v>4.44</v>
      </c>
      <c r="K65" s="1">
        <v>14.0</v>
      </c>
      <c r="L65" s="1">
        <v>64.0</v>
      </c>
      <c r="M65" s="1">
        <v>7277.0</v>
      </c>
      <c r="N65" s="1">
        <v>38.0</v>
      </c>
      <c r="O65" s="1">
        <v>1.0</v>
      </c>
      <c r="P65" s="1" t="s">
        <v>64</v>
      </c>
      <c r="Q65" s="1" t="s">
        <v>65</v>
      </c>
      <c r="R65" s="1" t="s">
        <v>27</v>
      </c>
      <c r="S65" s="1">
        <v>95.0</v>
      </c>
      <c r="T65" s="1">
        <v>1.689556E8</v>
      </c>
      <c r="U65" s="1">
        <f t="shared" si="0"/>
        <v>1.68962877E8</v>
      </c>
    </row>
    <row r="66">
      <c r="A66" s="1">
        <v>65.0</v>
      </c>
      <c r="B66" s="1">
        <v>2.0</v>
      </c>
      <c r="C66" s="1">
        <v>7.0</v>
      </c>
      <c r="D66" s="1" t="s">
        <v>123</v>
      </c>
      <c r="E66" s="1">
        <v>132.0</v>
      </c>
      <c r="F66" s="1">
        <v>2882.0</v>
      </c>
      <c r="G66" s="1" t="s">
        <v>22</v>
      </c>
      <c r="H66" s="1" t="s">
        <v>41</v>
      </c>
      <c r="I66" s="1" t="s">
        <v>42</v>
      </c>
      <c r="J66" s="1">
        <v>4.17</v>
      </c>
      <c r="K66" s="1">
        <v>16.0</v>
      </c>
      <c r="L66" s="1">
        <v>65.0</v>
      </c>
      <c r="M66" s="1">
        <v>4932.0</v>
      </c>
      <c r="N66" s="1">
        <v>43.0</v>
      </c>
      <c r="O66" s="1">
        <v>0.0</v>
      </c>
      <c r="P66" s="1" t="s">
        <v>56</v>
      </c>
      <c r="Q66" s="1" t="s">
        <v>57</v>
      </c>
      <c r="R66" s="1" t="s">
        <v>34</v>
      </c>
      <c r="S66" s="1">
        <v>85.0</v>
      </c>
      <c r="T66" s="1">
        <v>3.233604E7</v>
      </c>
      <c r="U66" s="1">
        <f t="shared" si="0"/>
        <v>3.2340972E7</v>
      </c>
    </row>
    <row r="67">
      <c r="A67" s="1">
        <v>66.0</v>
      </c>
      <c r="B67" s="1">
        <v>6.0</v>
      </c>
      <c r="C67" s="1">
        <v>8.0</v>
      </c>
      <c r="D67" s="1" t="s">
        <v>124</v>
      </c>
      <c r="E67" s="1">
        <v>163.0</v>
      </c>
      <c r="F67" s="1">
        <v>4647.0</v>
      </c>
      <c r="G67" s="1" t="s">
        <v>53</v>
      </c>
      <c r="H67" s="1" t="s">
        <v>54</v>
      </c>
      <c r="I67" s="1" t="s">
        <v>51</v>
      </c>
      <c r="J67" s="1">
        <v>3.89</v>
      </c>
      <c r="K67" s="1">
        <v>21.0</v>
      </c>
      <c r="L67" s="1">
        <v>66.0</v>
      </c>
      <c r="M67" s="1">
        <v>5788.0</v>
      </c>
      <c r="N67" s="1">
        <v>45.0</v>
      </c>
      <c r="O67" s="1">
        <v>0.0</v>
      </c>
      <c r="P67" s="1" t="s">
        <v>32</v>
      </c>
      <c r="Q67" s="1" t="s">
        <v>33</v>
      </c>
      <c r="R67" s="1" t="s">
        <v>34</v>
      </c>
      <c r="S67" s="1">
        <v>11.5</v>
      </c>
      <c r="T67" s="1">
        <v>8710801.5</v>
      </c>
      <c r="U67" s="1">
        <f t="shared" si="0"/>
        <v>8716589.5</v>
      </c>
    </row>
    <row r="68">
      <c r="A68" s="1">
        <v>67.0</v>
      </c>
      <c r="B68" s="1">
        <v>7.0</v>
      </c>
      <c r="C68" s="1">
        <v>10.0</v>
      </c>
      <c r="D68" s="1" t="s">
        <v>125</v>
      </c>
      <c r="E68" s="1">
        <v>107.0</v>
      </c>
      <c r="F68" s="1">
        <v>2689.0</v>
      </c>
      <c r="G68" s="1" t="s">
        <v>22</v>
      </c>
      <c r="H68" s="1" t="s">
        <v>82</v>
      </c>
      <c r="I68" s="1" t="s">
        <v>83</v>
      </c>
      <c r="J68" s="1">
        <v>4.86</v>
      </c>
      <c r="K68" s="1">
        <v>21.0</v>
      </c>
      <c r="L68" s="1">
        <v>67.0</v>
      </c>
      <c r="M68" s="1">
        <v>6457.0</v>
      </c>
      <c r="N68" s="1">
        <v>26.0</v>
      </c>
      <c r="O68" s="1">
        <v>0.0</v>
      </c>
      <c r="P68" s="1" t="s">
        <v>43</v>
      </c>
      <c r="Q68" s="1" t="s">
        <v>26</v>
      </c>
      <c r="R68" s="1" t="s">
        <v>27</v>
      </c>
      <c r="S68" s="1">
        <v>85.0</v>
      </c>
      <c r="T68" s="1">
        <v>2.4456455E7</v>
      </c>
      <c r="U68" s="1">
        <f t="shared" si="0"/>
        <v>2.4462912E7</v>
      </c>
    </row>
    <row r="69">
      <c r="A69" s="1">
        <v>68.0</v>
      </c>
      <c r="B69" s="1">
        <v>5.0</v>
      </c>
      <c r="C69" s="1">
        <v>2.0</v>
      </c>
      <c r="D69" s="1" t="s">
        <v>126</v>
      </c>
      <c r="E69" s="1">
        <v>250.0</v>
      </c>
      <c r="F69" s="1">
        <v>2729.0</v>
      </c>
      <c r="G69" s="1" t="s">
        <v>36</v>
      </c>
      <c r="H69" s="1" t="s">
        <v>67</v>
      </c>
      <c r="I69" s="1" t="s">
        <v>68</v>
      </c>
      <c r="J69" s="1">
        <v>4.25</v>
      </c>
      <c r="K69" s="1">
        <v>13.0</v>
      </c>
      <c r="L69" s="1">
        <v>68.0</v>
      </c>
      <c r="M69" s="1">
        <v>5518.0</v>
      </c>
      <c r="N69" s="1">
        <v>7.0</v>
      </c>
      <c r="O69" s="1">
        <v>1.0</v>
      </c>
      <c r="P69" s="1" t="s">
        <v>91</v>
      </c>
      <c r="Q69" s="1" t="s">
        <v>92</v>
      </c>
      <c r="R69" s="1" t="s">
        <v>34</v>
      </c>
      <c r="S69" s="1">
        <v>1.0</v>
      </c>
      <c r="T69" s="1">
        <v>682250.0</v>
      </c>
      <c r="U69" s="1">
        <f t="shared" si="0"/>
        <v>687768.0</v>
      </c>
    </row>
    <row r="70">
      <c r="A70" s="1">
        <v>69.0</v>
      </c>
      <c r="B70" s="1">
        <v>10.0</v>
      </c>
      <c r="C70" s="1">
        <v>2.0</v>
      </c>
      <c r="D70" s="1" t="s">
        <v>127</v>
      </c>
      <c r="E70" s="1">
        <v>276.0</v>
      </c>
      <c r="F70" s="1">
        <v>3285.0</v>
      </c>
      <c r="G70" s="1" t="s">
        <v>70</v>
      </c>
      <c r="H70" s="1" t="s">
        <v>45</v>
      </c>
      <c r="I70" s="1" t="s">
        <v>42</v>
      </c>
      <c r="J70" s="1">
        <v>3.68</v>
      </c>
      <c r="K70" s="1">
        <v>16.0</v>
      </c>
      <c r="L70" s="1">
        <v>69.0</v>
      </c>
      <c r="M70" s="1">
        <v>6833.0</v>
      </c>
      <c r="N70" s="1">
        <v>19.0</v>
      </c>
      <c r="O70" s="1">
        <v>0.0</v>
      </c>
      <c r="P70" s="1" t="s">
        <v>91</v>
      </c>
      <c r="Q70" s="1" t="s">
        <v>92</v>
      </c>
      <c r="R70" s="1" t="s">
        <v>34</v>
      </c>
      <c r="S70" s="1">
        <v>115.0</v>
      </c>
      <c r="T70" s="1">
        <v>1.042659E8</v>
      </c>
      <c r="U70" s="1">
        <f t="shared" si="0"/>
        <v>1.04272733E8</v>
      </c>
    </row>
    <row r="71">
      <c r="A71" s="1">
        <v>70.0</v>
      </c>
      <c r="B71" s="1">
        <v>6.0</v>
      </c>
      <c r="C71" s="1">
        <v>7.0</v>
      </c>
      <c r="D71" s="1" t="s">
        <v>128</v>
      </c>
      <c r="E71" s="1">
        <v>208.0</v>
      </c>
      <c r="F71" s="1">
        <v>3823.0</v>
      </c>
      <c r="G71" s="1" t="s">
        <v>47</v>
      </c>
      <c r="H71" s="1" t="s">
        <v>54</v>
      </c>
      <c r="I71" s="1" t="s">
        <v>51</v>
      </c>
      <c r="J71" s="1">
        <v>3.89</v>
      </c>
      <c r="K71" s="1">
        <v>21.0</v>
      </c>
      <c r="L71" s="1">
        <v>70.0</v>
      </c>
      <c r="M71" s="1">
        <v>6970.0</v>
      </c>
      <c r="N71" s="1">
        <v>27.0</v>
      </c>
      <c r="O71" s="1">
        <v>0.0</v>
      </c>
      <c r="P71" s="1" t="s">
        <v>56</v>
      </c>
      <c r="Q71" s="1" t="s">
        <v>57</v>
      </c>
      <c r="R71" s="1" t="s">
        <v>34</v>
      </c>
      <c r="S71" s="1">
        <v>95.0</v>
      </c>
      <c r="T71" s="1">
        <v>7.554248E7</v>
      </c>
      <c r="U71" s="1">
        <f t="shared" si="0"/>
        <v>7.554945E7</v>
      </c>
    </row>
    <row r="72">
      <c r="A72" s="1">
        <v>71.0</v>
      </c>
      <c r="B72" s="1">
        <v>2.0</v>
      </c>
      <c r="C72" s="1">
        <v>8.0</v>
      </c>
      <c r="D72" s="1" t="s">
        <v>129</v>
      </c>
      <c r="E72" s="1">
        <v>446.0</v>
      </c>
      <c r="F72" s="1">
        <v>4019.0</v>
      </c>
      <c r="G72" s="1" t="s">
        <v>29</v>
      </c>
      <c r="H72" s="1" t="s">
        <v>41</v>
      </c>
      <c r="I72" s="1" t="s">
        <v>42</v>
      </c>
      <c r="J72" s="1">
        <v>4.17</v>
      </c>
      <c r="K72" s="1">
        <v>16.0</v>
      </c>
      <c r="L72" s="1">
        <v>71.0</v>
      </c>
      <c r="M72" s="1">
        <v>3494.0</v>
      </c>
      <c r="N72" s="1">
        <v>40.0</v>
      </c>
      <c r="O72" s="1">
        <v>0.0</v>
      </c>
      <c r="P72" s="1" t="s">
        <v>32</v>
      </c>
      <c r="Q72" s="1" t="s">
        <v>33</v>
      </c>
      <c r="R72" s="1" t="s">
        <v>34</v>
      </c>
      <c r="S72" s="1">
        <v>0.7</v>
      </c>
      <c r="T72" s="1">
        <v>1254731.8</v>
      </c>
      <c r="U72" s="1">
        <f t="shared" si="0"/>
        <v>1258225.8</v>
      </c>
    </row>
    <row r="73">
      <c r="A73" s="1">
        <v>72.0</v>
      </c>
      <c r="B73" s="1">
        <v>1.0</v>
      </c>
      <c r="C73" s="1">
        <v>2.0</v>
      </c>
      <c r="D73" s="1" t="s">
        <v>130</v>
      </c>
      <c r="E73" s="1">
        <v>353.0</v>
      </c>
      <c r="F73" s="1">
        <v>4440.0</v>
      </c>
      <c r="G73" s="1" t="s">
        <v>53</v>
      </c>
      <c r="H73" s="1" t="s">
        <v>30</v>
      </c>
      <c r="I73" s="1" t="s">
        <v>31</v>
      </c>
      <c r="J73" s="1">
        <v>4.65</v>
      </c>
      <c r="K73" s="1">
        <v>14.0</v>
      </c>
      <c r="L73" s="1">
        <v>72.0</v>
      </c>
      <c r="M73" s="1">
        <v>5454.0</v>
      </c>
      <c r="N73" s="1">
        <v>23.0</v>
      </c>
      <c r="O73" s="1">
        <v>1.0</v>
      </c>
      <c r="P73" s="1" t="s">
        <v>91</v>
      </c>
      <c r="Q73" s="1" t="s">
        <v>92</v>
      </c>
      <c r="R73" s="1" t="s">
        <v>34</v>
      </c>
      <c r="S73" s="1">
        <v>11.5</v>
      </c>
      <c r="T73" s="1">
        <v>1.802418E7</v>
      </c>
      <c r="U73" s="1">
        <f t="shared" si="0"/>
        <v>1.8029634E7</v>
      </c>
    </row>
    <row r="74">
      <c r="A74" s="1">
        <v>73.0</v>
      </c>
      <c r="B74" s="1">
        <v>8.0</v>
      </c>
      <c r="C74" s="1">
        <v>2.0</v>
      </c>
      <c r="D74" s="1" t="s">
        <v>69</v>
      </c>
      <c r="E74" s="1">
        <v>292.0</v>
      </c>
      <c r="F74" s="1">
        <v>3660.0</v>
      </c>
      <c r="G74" s="1" t="s">
        <v>22</v>
      </c>
      <c r="H74" s="1" t="s">
        <v>23</v>
      </c>
      <c r="I74" s="1" t="s">
        <v>24</v>
      </c>
      <c r="J74" s="1">
        <v>3.84</v>
      </c>
      <c r="K74" s="1">
        <v>8.0</v>
      </c>
      <c r="L74" s="1">
        <v>73.0</v>
      </c>
      <c r="M74" s="1">
        <v>4019.0</v>
      </c>
      <c r="N74" s="1">
        <v>24.0</v>
      </c>
      <c r="O74" s="1">
        <v>1.0</v>
      </c>
      <c r="P74" s="1" t="s">
        <v>91</v>
      </c>
      <c r="Q74" s="1" t="s">
        <v>92</v>
      </c>
      <c r="R74" s="1" t="s">
        <v>34</v>
      </c>
      <c r="S74" s="1">
        <v>85.0</v>
      </c>
      <c r="T74" s="1">
        <v>9.08412E7</v>
      </c>
      <c r="U74" s="1">
        <f t="shared" si="0"/>
        <v>9.0845219E7</v>
      </c>
    </row>
    <row r="75">
      <c r="A75" s="1">
        <v>74.0</v>
      </c>
      <c r="B75" s="1">
        <v>10.0</v>
      </c>
      <c r="C75" s="1">
        <v>8.0</v>
      </c>
      <c r="D75" s="1" t="s">
        <v>131</v>
      </c>
      <c r="E75" s="1">
        <v>442.0</v>
      </c>
      <c r="F75" s="1">
        <v>2830.0</v>
      </c>
      <c r="G75" s="1" t="s">
        <v>36</v>
      </c>
      <c r="H75" s="1" t="s">
        <v>45</v>
      </c>
      <c r="I75" s="1" t="s">
        <v>42</v>
      </c>
      <c r="J75" s="1">
        <v>3.68</v>
      </c>
      <c r="K75" s="1">
        <v>16.0</v>
      </c>
      <c r="L75" s="1">
        <v>74.0</v>
      </c>
      <c r="M75" s="1">
        <v>9294.0</v>
      </c>
      <c r="N75" s="1">
        <v>10.0</v>
      </c>
      <c r="O75" s="1">
        <v>0.0</v>
      </c>
      <c r="P75" s="1" t="s">
        <v>32</v>
      </c>
      <c r="Q75" s="1" t="s">
        <v>33</v>
      </c>
      <c r="R75" s="1" t="s">
        <v>34</v>
      </c>
      <c r="S75" s="1">
        <v>1.0</v>
      </c>
      <c r="T75" s="1">
        <v>1250860.0</v>
      </c>
      <c r="U75" s="1">
        <f t="shared" si="0"/>
        <v>1260154.0</v>
      </c>
    </row>
    <row r="76">
      <c r="A76" s="1">
        <v>75.0</v>
      </c>
      <c r="B76" s="1">
        <v>9.0</v>
      </c>
      <c r="C76" s="1">
        <v>1.0</v>
      </c>
      <c r="D76" s="1" t="s">
        <v>132</v>
      </c>
      <c r="E76" s="1">
        <v>303.0</v>
      </c>
      <c r="F76" s="1">
        <v>2488.0</v>
      </c>
      <c r="G76" s="1" t="s">
        <v>70</v>
      </c>
      <c r="H76" s="1" t="s">
        <v>72</v>
      </c>
      <c r="I76" s="1" t="s">
        <v>73</v>
      </c>
      <c r="J76" s="1">
        <v>3.66</v>
      </c>
      <c r="K76" s="1">
        <v>16.0</v>
      </c>
      <c r="L76" s="1">
        <v>75.0</v>
      </c>
      <c r="M76" s="1">
        <v>8941.0</v>
      </c>
      <c r="N76" s="1">
        <v>16.0</v>
      </c>
      <c r="O76" s="1">
        <v>1.0</v>
      </c>
      <c r="P76" s="1" t="s">
        <v>64</v>
      </c>
      <c r="Q76" s="1" t="s">
        <v>65</v>
      </c>
      <c r="R76" s="1" t="s">
        <v>27</v>
      </c>
      <c r="S76" s="1">
        <v>115.0</v>
      </c>
      <c r="T76" s="1">
        <v>8.669436E7</v>
      </c>
      <c r="U76" s="1">
        <f t="shared" si="0"/>
        <v>8.6703301E7</v>
      </c>
    </row>
    <row r="77">
      <c r="A77" s="1">
        <v>76.0</v>
      </c>
      <c r="B77" s="1">
        <v>5.0</v>
      </c>
      <c r="C77" s="1">
        <v>8.0</v>
      </c>
      <c r="D77" s="1" t="s">
        <v>133</v>
      </c>
      <c r="E77" s="1">
        <v>464.0</v>
      </c>
      <c r="F77" s="1">
        <v>1767.0</v>
      </c>
      <c r="G77" s="1" t="s">
        <v>22</v>
      </c>
      <c r="H77" s="1" t="s">
        <v>67</v>
      </c>
      <c r="I77" s="1" t="s">
        <v>68</v>
      </c>
      <c r="J77" s="1">
        <v>4.25</v>
      </c>
      <c r="K77" s="1">
        <v>13.0</v>
      </c>
      <c r="L77" s="1">
        <v>76.0</v>
      </c>
      <c r="M77" s="1">
        <v>5116.0</v>
      </c>
      <c r="N77" s="1">
        <v>43.0</v>
      </c>
      <c r="O77" s="1">
        <v>1.0</v>
      </c>
      <c r="P77" s="1" t="s">
        <v>32</v>
      </c>
      <c r="Q77" s="1" t="s">
        <v>33</v>
      </c>
      <c r="R77" s="1" t="s">
        <v>34</v>
      </c>
      <c r="S77" s="1">
        <v>85.0</v>
      </c>
      <c r="T77" s="1">
        <v>6.969048E7</v>
      </c>
      <c r="U77" s="1">
        <f t="shared" si="0"/>
        <v>6.9695596E7</v>
      </c>
    </row>
    <row r="78">
      <c r="A78" s="1">
        <v>77.0</v>
      </c>
      <c r="B78" s="1">
        <v>3.0</v>
      </c>
      <c r="C78" s="1">
        <v>10.0</v>
      </c>
      <c r="D78" s="1" t="s">
        <v>99</v>
      </c>
      <c r="E78" s="1">
        <v>318.0</v>
      </c>
      <c r="F78" s="1">
        <v>1829.0</v>
      </c>
      <c r="G78" s="1" t="s">
        <v>47</v>
      </c>
      <c r="H78" s="1" t="s">
        <v>62</v>
      </c>
      <c r="I78" s="1" t="s">
        <v>31</v>
      </c>
      <c r="J78" s="1">
        <v>4.25</v>
      </c>
      <c r="K78" s="1">
        <v>20.0</v>
      </c>
      <c r="L78" s="1">
        <v>77.0</v>
      </c>
      <c r="M78" s="1">
        <v>7258.0</v>
      </c>
      <c r="N78" s="1">
        <v>30.0</v>
      </c>
      <c r="O78" s="1">
        <v>1.0</v>
      </c>
      <c r="P78" s="1" t="s">
        <v>43</v>
      </c>
      <c r="Q78" s="1" t="s">
        <v>26</v>
      </c>
      <c r="R78" s="1" t="s">
        <v>27</v>
      </c>
      <c r="S78" s="1">
        <v>95.0</v>
      </c>
      <c r="T78" s="1">
        <v>5.525409E7</v>
      </c>
      <c r="U78" s="1">
        <f t="shared" si="0"/>
        <v>5.5261348E7</v>
      </c>
    </row>
    <row r="79">
      <c r="A79" s="1">
        <v>78.0</v>
      </c>
      <c r="B79" s="1">
        <v>10.0</v>
      </c>
      <c r="C79" s="1">
        <v>4.0</v>
      </c>
      <c r="D79" s="1" t="s">
        <v>134</v>
      </c>
      <c r="E79" s="1">
        <v>401.0</v>
      </c>
      <c r="F79" s="1">
        <v>3347.0</v>
      </c>
      <c r="G79" s="1" t="s">
        <v>36</v>
      </c>
      <c r="H79" s="1" t="s">
        <v>45</v>
      </c>
      <c r="I79" s="1" t="s">
        <v>42</v>
      </c>
      <c r="J79" s="1">
        <v>3.68</v>
      </c>
      <c r="K79" s="1">
        <v>16.0</v>
      </c>
      <c r="L79" s="1">
        <v>78.0</v>
      </c>
      <c r="M79" s="1">
        <v>3056.0</v>
      </c>
      <c r="N79" s="1">
        <v>34.0</v>
      </c>
      <c r="O79" s="1">
        <v>0.0</v>
      </c>
      <c r="P79" s="1" t="s">
        <v>25</v>
      </c>
      <c r="Q79" s="1" t="s">
        <v>26</v>
      </c>
      <c r="R79" s="1" t="s">
        <v>27</v>
      </c>
      <c r="S79" s="1">
        <v>1.0</v>
      </c>
      <c r="T79" s="1">
        <v>1342147.0</v>
      </c>
      <c r="U79" s="1">
        <f t="shared" si="0"/>
        <v>1345203.0</v>
      </c>
    </row>
    <row r="80">
      <c r="A80" s="1">
        <v>79.0</v>
      </c>
      <c r="B80" s="1">
        <v>4.0</v>
      </c>
      <c r="C80" s="1">
        <v>8.0</v>
      </c>
      <c r="D80" s="1" t="s">
        <v>135</v>
      </c>
      <c r="E80" s="1">
        <v>451.0</v>
      </c>
      <c r="F80" s="1">
        <v>4182.0</v>
      </c>
      <c r="G80" s="1" t="s">
        <v>22</v>
      </c>
      <c r="H80" s="1" t="s">
        <v>50</v>
      </c>
      <c r="I80" s="1" t="s">
        <v>51</v>
      </c>
      <c r="J80" s="1">
        <v>4.44</v>
      </c>
      <c r="K80" s="1">
        <v>14.0</v>
      </c>
      <c r="L80" s="1">
        <v>79.0</v>
      </c>
      <c r="M80" s="1">
        <v>4073.0</v>
      </c>
      <c r="N80" s="1">
        <v>45.0</v>
      </c>
      <c r="O80" s="1">
        <v>0.0</v>
      </c>
      <c r="P80" s="1" t="s">
        <v>32</v>
      </c>
      <c r="Q80" s="1" t="s">
        <v>33</v>
      </c>
      <c r="R80" s="1" t="s">
        <v>34</v>
      </c>
      <c r="S80" s="1">
        <v>85.0</v>
      </c>
      <c r="T80" s="1">
        <v>1.6031697E8</v>
      </c>
      <c r="U80" s="1">
        <f t="shared" si="0"/>
        <v>1.60321043E8</v>
      </c>
    </row>
    <row r="81">
      <c r="A81" s="1">
        <v>80.0</v>
      </c>
      <c r="B81" s="1">
        <v>3.0</v>
      </c>
      <c r="C81" s="1">
        <v>8.0</v>
      </c>
      <c r="D81" s="1" t="s">
        <v>136</v>
      </c>
      <c r="E81" s="1">
        <v>494.0</v>
      </c>
      <c r="F81" s="1">
        <v>3899.0</v>
      </c>
      <c r="G81" s="1" t="s">
        <v>22</v>
      </c>
      <c r="H81" s="1" t="s">
        <v>62</v>
      </c>
      <c r="I81" s="1" t="s">
        <v>31</v>
      </c>
      <c r="J81" s="1">
        <v>4.25</v>
      </c>
      <c r="K81" s="1">
        <v>20.0</v>
      </c>
      <c r="L81" s="1">
        <v>80.0</v>
      </c>
      <c r="M81" s="1">
        <v>4945.0</v>
      </c>
      <c r="N81" s="1">
        <v>12.0</v>
      </c>
      <c r="O81" s="1">
        <v>0.0</v>
      </c>
      <c r="P81" s="1" t="s">
        <v>32</v>
      </c>
      <c r="Q81" s="1" t="s">
        <v>33</v>
      </c>
      <c r="R81" s="1" t="s">
        <v>34</v>
      </c>
      <c r="S81" s="1">
        <v>85.0</v>
      </c>
      <c r="T81" s="1">
        <v>1.6371901E8</v>
      </c>
      <c r="U81" s="1">
        <f t="shared" si="0"/>
        <v>1.63723955E8</v>
      </c>
    </row>
    <row r="82">
      <c r="A82" s="1">
        <v>81.0</v>
      </c>
      <c r="B82" s="1">
        <v>8.0</v>
      </c>
      <c r="C82" s="1">
        <v>7.0</v>
      </c>
      <c r="D82" s="1" t="s">
        <v>137</v>
      </c>
      <c r="E82" s="1">
        <v>469.0</v>
      </c>
      <c r="F82" s="1">
        <v>2669.0</v>
      </c>
      <c r="G82" s="1" t="s">
        <v>22</v>
      </c>
      <c r="H82" s="1" t="s">
        <v>23</v>
      </c>
      <c r="I82" s="1" t="s">
        <v>24</v>
      </c>
      <c r="J82" s="1">
        <v>3.84</v>
      </c>
      <c r="K82" s="1">
        <v>8.0</v>
      </c>
      <c r="L82" s="1">
        <v>81.0</v>
      </c>
      <c r="M82" s="1">
        <v>4019.0</v>
      </c>
      <c r="N82" s="1">
        <v>9.0</v>
      </c>
      <c r="O82" s="1">
        <v>1.0</v>
      </c>
      <c r="P82" s="1" t="s">
        <v>56</v>
      </c>
      <c r="Q82" s="1" t="s">
        <v>57</v>
      </c>
      <c r="R82" s="1" t="s">
        <v>34</v>
      </c>
      <c r="S82" s="1">
        <v>85.0</v>
      </c>
      <c r="T82" s="1">
        <v>1.06399685E8</v>
      </c>
      <c r="U82" s="1">
        <f t="shared" si="0"/>
        <v>1.06403704E8</v>
      </c>
    </row>
    <row r="83">
      <c r="A83" s="1">
        <v>82.0</v>
      </c>
      <c r="B83" s="1">
        <v>8.0</v>
      </c>
      <c r="C83" s="1">
        <v>10.0</v>
      </c>
      <c r="D83" s="1" t="s">
        <v>138</v>
      </c>
      <c r="E83" s="1">
        <v>373.0</v>
      </c>
      <c r="F83" s="1">
        <v>3146.0</v>
      </c>
      <c r="G83" s="1" t="s">
        <v>29</v>
      </c>
      <c r="H83" s="1" t="s">
        <v>23</v>
      </c>
      <c r="I83" s="1" t="s">
        <v>24</v>
      </c>
      <c r="J83" s="1">
        <v>3.84</v>
      </c>
      <c r="K83" s="1">
        <v>8.0</v>
      </c>
      <c r="L83" s="1">
        <v>82.0</v>
      </c>
      <c r="M83" s="1">
        <v>7467.0</v>
      </c>
      <c r="N83" s="1">
        <v>39.0</v>
      </c>
      <c r="O83" s="1">
        <v>1.0</v>
      </c>
      <c r="P83" s="1" t="s">
        <v>43</v>
      </c>
      <c r="Q83" s="1" t="s">
        <v>26</v>
      </c>
      <c r="R83" s="1" t="s">
        <v>27</v>
      </c>
      <c r="S83" s="1">
        <v>0.7</v>
      </c>
      <c r="T83" s="1">
        <v>821420.6</v>
      </c>
      <c r="U83" s="1">
        <f t="shared" si="0"/>
        <v>828887.6</v>
      </c>
    </row>
    <row r="84">
      <c r="A84" s="1">
        <v>83.0</v>
      </c>
      <c r="B84" s="1">
        <v>6.0</v>
      </c>
      <c r="C84" s="1">
        <v>5.0</v>
      </c>
      <c r="D84" s="1" t="s">
        <v>139</v>
      </c>
      <c r="E84" s="1">
        <v>427.0</v>
      </c>
      <c r="F84" s="1">
        <v>3631.0</v>
      </c>
      <c r="G84" s="1" t="s">
        <v>22</v>
      </c>
      <c r="H84" s="1" t="s">
        <v>54</v>
      </c>
      <c r="I84" s="1" t="s">
        <v>51</v>
      </c>
      <c r="J84" s="1">
        <v>3.89</v>
      </c>
      <c r="K84" s="1">
        <v>21.0</v>
      </c>
      <c r="L84" s="1">
        <v>83.0</v>
      </c>
      <c r="M84" s="1">
        <v>6912.0</v>
      </c>
      <c r="N84" s="1">
        <v>35.0</v>
      </c>
      <c r="O84" s="1">
        <v>0.0</v>
      </c>
      <c r="P84" s="1" t="s">
        <v>37</v>
      </c>
      <c r="Q84" s="1" t="s">
        <v>38</v>
      </c>
      <c r="R84" s="1" t="s">
        <v>39</v>
      </c>
      <c r="S84" s="1">
        <v>85.0</v>
      </c>
      <c r="T84" s="1">
        <v>1.31787145E8</v>
      </c>
      <c r="U84" s="1">
        <f t="shared" si="0"/>
        <v>1.31794057E8</v>
      </c>
    </row>
    <row r="85">
      <c r="A85" s="1">
        <v>84.0</v>
      </c>
      <c r="B85" s="1">
        <v>3.0</v>
      </c>
      <c r="C85" s="1">
        <v>5.0</v>
      </c>
      <c r="D85" s="1" t="s">
        <v>140</v>
      </c>
      <c r="E85" s="1">
        <v>351.0</v>
      </c>
      <c r="F85" s="1">
        <v>1611.0</v>
      </c>
      <c r="G85" s="1" t="s">
        <v>29</v>
      </c>
      <c r="H85" s="1" t="s">
        <v>62</v>
      </c>
      <c r="I85" s="1" t="s">
        <v>31</v>
      </c>
      <c r="J85" s="1">
        <v>4.25</v>
      </c>
      <c r="K85" s="1">
        <v>20.0</v>
      </c>
      <c r="L85" s="1">
        <v>84.0</v>
      </c>
      <c r="M85" s="1">
        <v>3649.0</v>
      </c>
      <c r="N85" s="1">
        <v>19.0</v>
      </c>
      <c r="O85" s="1">
        <v>1.0</v>
      </c>
      <c r="P85" s="1" t="s">
        <v>37</v>
      </c>
      <c r="Q85" s="1" t="s">
        <v>38</v>
      </c>
      <c r="R85" s="1" t="s">
        <v>39</v>
      </c>
      <c r="S85" s="1">
        <v>0.7</v>
      </c>
      <c r="T85" s="1">
        <v>395822.7</v>
      </c>
      <c r="U85" s="1">
        <f t="shared" si="0"/>
        <v>399471.7</v>
      </c>
    </row>
    <row r="86">
      <c r="A86" s="1">
        <v>85.0</v>
      </c>
      <c r="B86" s="1">
        <v>5.0</v>
      </c>
      <c r="C86" s="1">
        <v>9.0</v>
      </c>
      <c r="D86" s="1" t="s">
        <v>141</v>
      </c>
      <c r="E86" s="1">
        <v>178.0</v>
      </c>
      <c r="F86" s="1">
        <v>4137.0</v>
      </c>
      <c r="G86" s="1" t="s">
        <v>29</v>
      </c>
      <c r="H86" s="1" t="s">
        <v>67</v>
      </c>
      <c r="I86" s="1" t="s">
        <v>68</v>
      </c>
      <c r="J86" s="1">
        <v>4.25</v>
      </c>
      <c r="K86" s="1">
        <v>13.0</v>
      </c>
      <c r="L86" s="1">
        <v>85.0</v>
      </c>
      <c r="M86" s="1">
        <v>3344.0</v>
      </c>
      <c r="N86" s="1">
        <v>20.0</v>
      </c>
      <c r="O86" s="1">
        <v>0.0</v>
      </c>
      <c r="P86" s="1" t="s">
        <v>74</v>
      </c>
      <c r="Q86" s="1" t="s">
        <v>75</v>
      </c>
      <c r="R86" s="1" t="s">
        <v>27</v>
      </c>
      <c r="S86" s="1">
        <v>0.7</v>
      </c>
      <c r="T86" s="1">
        <v>515470.2</v>
      </c>
      <c r="U86" s="1">
        <f t="shared" si="0"/>
        <v>518814.2</v>
      </c>
    </row>
    <row r="87">
      <c r="A87" s="1">
        <v>86.0</v>
      </c>
      <c r="B87" s="1">
        <v>1.0</v>
      </c>
      <c r="C87" s="1">
        <v>10.0</v>
      </c>
      <c r="D87" s="1" t="s">
        <v>142</v>
      </c>
      <c r="E87" s="1">
        <v>418.0</v>
      </c>
      <c r="F87" s="1">
        <v>4840.0</v>
      </c>
      <c r="G87" s="1" t="s">
        <v>53</v>
      </c>
      <c r="H87" s="1" t="s">
        <v>30</v>
      </c>
      <c r="I87" s="1" t="s">
        <v>31</v>
      </c>
      <c r="J87" s="1">
        <v>4.65</v>
      </c>
      <c r="K87" s="1">
        <v>14.0</v>
      </c>
      <c r="L87" s="1">
        <v>86.0</v>
      </c>
      <c r="M87" s="1">
        <v>9911.0</v>
      </c>
      <c r="N87" s="1">
        <v>18.0</v>
      </c>
      <c r="O87" s="1">
        <v>1.0</v>
      </c>
      <c r="P87" s="1" t="s">
        <v>43</v>
      </c>
      <c r="Q87" s="1" t="s">
        <v>26</v>
      </c>
      <c r="R87" s="1" t="s">
        <v>27</v>
      </c>
      <c r="S87" s="1">
        <v>11.5</v>
      </c>
      <c r="T87" s="1">
        <v>2.326588E7</v>
      </c>
      <c r="U87" s="1">
        <f t="shared" si="0"/>
        <v>2.3275791E7</v>
      </c>
    </row>
    <row r="88">
      <c r="A88" s="1">
        <v>87.0</v>
      </c>
      <c r="B88" s="1">
        <v>1.0</v>
      </c>
      <c r="C88" s="1">
        <v>1.0</v>
      </c>
      <c r="D88" s="1" t="s">
        <v>143</v>
      </c>
      <c r="E88" s="1">
        <v>468.0</v>
      </c>
      <c r="F88" s="1">
        <v>2747.0</v>
      </c>
      <c r="G88" s="1" t="s">
        <v>22</v>
      </c>
      <c r="H88" s="1" t="s">
        <v>30</v>
      </c>
      <c r="I88" s="1" t="s">
        <v>31</v>
      </c>
      <c r="J88" s="1">
        <v>4.65</v>
      </c>
      <c r="K88" s="1">
        <v>14.0</v>
      </c>
      <c r="L88" s="1">
        <v>87.0</v>
      </c>
      <c r="M88" s="1">
        <v>3758.0</v>
      </c>
      <c r="N88" s="1">
        <v>7.0</v>
      </c>
      <c r="O88" s="1">
        <v>1.0</v>
      </c>
      <c r="P88" s="1" t="s">
        <v>64</v>
      </c>
      <c r="Q88" s="1" t="s">
        <v>65</v>
      </c>
      <c r="R88" s="1" t="s">
        <v>27</v>
      </c>
      <c r="S88" s="1">
        <v>85.0</v>
      </c>
      <c r="T88" s="1">
        <v>1.0927566E8</v>
      </c>
      <c r="U88" s="1">
        <f t="shared" si="0"/>
        <v>1.09279418E8</v>
      </c>
    </row>
    <row r="89">
      <c r="A89" s="1">
        <v>88.0</v>
      </c>
      <c r="B89" s="1">
        <v>3.0</v>
      </c>
      <c r="C89" s="1">
        <v>1.0</v>
      </c>
      <c r="D89" s="1" t="s">
        <v>144</v>
      </c>
      <c r="E89" s="1">
        <v>321.0</v>
      </c>
      <c r="F89" s="1">
        <v>4043.0</v>
      </c>
      <c r="G89" s="1" t="s">
        <v>22</v>
      </c>
      <c r="H89" s="1" t="s">
        <v>62</v>
      </c>
      <c r="I89" s="1" t="s">
        <v>31</v>
      </c>
      <c r="J89" s="1">
        <v>4.25</v>
      </c>
      <c r="K89" s="1">
        <v>20.0</v>
      </c>
      <c r="L89" s="1">
        <v>88.0</v>
      </c>
      <c r="M89" s="1">
        <v>4167.0</v>
      </c>
      <c r="N89" s="1">
        <v>35.0</v>
      </c>
      <c r="O89" s="1">
        <v>0.0</v>
      </c>
      <c r="P89" s="1" t="s">
        <v>64</v>
      </c>
      <c r="Q89" s="1" t="s">
        <v>65</v>
      </c>
      <c r="R89" s="1" t="s">
        <v>27</v>
      </c>
      <c r="S89" s="1">
        <v>85.0</v>
      </c>
      <c r="T89" s="1">
        <v>1.10313255E8</v>
      </c>
      <c r="U89" s="1">
        <f t="shared" si="0"/>
        <v>1.10317422E8</v>
      </c>
    </row>
    <row r="90">
      <c r="A90" s="1">
        <v>89.0</v>
      </c>
      <c r="B90" s="1">
        <v>9.0</v>
      </c>
      <c r="C90" s="1">
        <v>9.0</v>
      </c>
      <c r="D90" s="1" t="s">
        <v>145</v>
      </c>
      <c r="E90" s="1">
        <v>262.0</v>
      </c>
      <c r="F90" s="1">
        <v>1908.0</v>
      </c>
      <c r="G90" s="1" t="s">
        <v>36</v>
      </c>
      <c r="H90" s="1" t="s">
        <v>72</v>
      </c>
      <c r="I90" s="1" t="s">
        <v>73</v>
      </c>
      <c r="J90" s="1">
        <v>3.66</v>
      </c>
      <c r="K90" s="1">
        <v>16.0</v>
      </c>
      <c r="L90" s="1">
        <v>89.0</v>
      </c>
      <c r="M90" s="1">
        <v>9568.0</v>
      </c>
      <c r="N90" s="1">
        <v>40.0</v>
      </c>
      <c r="O90" s="1">
        <v>1.0</v>
      </c>
      <c r="P90" s="1" t="s">
        <v>74</v>
      </c>
      <c r="Q90" s="1" t="s">
        <v>75</v>
      </c>
      <c r="R90" s="1" t="s">
        <v>27</v>
      </c>
      <c r="S90" s="1">
        <v>1.0</v>
      </c>
      <c r="T90" s="1">
        <v>499896.0</v>
      </c>
      <c r="U90" s="1">
        <f t="shared" si="0"/>
        <v>509464.0</v>
      </c>
    </row>
    <row r="91">
      <c r="A91" s="1">
        <v>90.0</v>
      </c>
      <c r="B91" s="1">
        <v>9.0</v>
      </c>
      <c r="C91" s="1">
        <v>8.0</v>
      </c>
      <c r="D91" s="1" t="s">
        <v>146</v>
      </c>
      <c r="E91" s="1">
        <v>165.0</v>
      </c>
      <c r="F91" s="1">
        <v>4120.0</v>
      </c>
      <c r="G91" s="1" t="s">
        <v>22</v>
      </c>
      <c r="H91" s="1" t="s">
        <v>72</v>
      </c>
      <c r="I91" s="1" t="s">
        <v>73</v>
      </c>
      <c r="J91" s="1">
        <v>3.66</v>
      </c>
      <c r="K91" s="1">
        <v>16.0</v>
      </c>
      <c r="L91" s="1">
        <v>90.0</v>
      </c>
      <c r="M91" s="1">
        <v>5333.0</v>
      </c>
      <c r="N91" s="1">
        <v>19.0</v>
      </c>
      <c r="O91" s="1">
        <v>0.0</v>
      </c>
      <c r="P91" s="1" t="s">
        <v>32</v>
      </c>
      <c r="Q91" s="1" t="s">
        <v>33</v>
      </c>
      <c r="R91" s="1" t="s">
        <v>34</v>
      </c>
      <c r="S91" s="1">
        <v>85.0</v>
      </c>
      <c r="T91" s="1">
        <v>5.7783E7</v>
      </c>
      <c r="U91" s="1">
        <f t="shared" si="0"/>
        <v>5.7788333E7</v>
      </c>
    </row>
    <row r="92">
      <c r="A92" s="1">
        <v>91.0</v>
      </c>
      <c r="B92" s="1">
        <v>4.0</v>
      </c>
      <c r="C92" s="1">
        <v>2.0</v>
      </c>
      <c r="D92" s="1" t="s">
        <v>147</v>
      </c>
      <c r="E92" s="1">
        <v>235.0</v>
      </c>
      <c r="F92" s="1">
        <v>4642.0</v>
      </c>
      <c r="G92" s="1" t="s">
        <v>70</v>
      </c>
      <c r="H92" s="1" t="s">
        <v>50</v>
      </c>
      <c r="I92" s="1" t="s">
        <v>51</v>
      </c>
      <c r="J92" s="1">
        <v>4.44</v>
      </c>
      <c r="K92" s="1">
        <v>14.0</v>
      </c>
      <c r="L92" s="1">
        <v>91.0</v>
      </c>
      <c r="M92" s="1">
        <v>3099.0</v>
      </c>
      <c r="N92" s="1">
        <v>26.0</v>
      </c>
      <c r="O92" s="1">
        <v>0.0</v>
      </c>
      <c r="P92" s="1" t="s">
        <v>91</v>
      </c>
      <c r="Q92" s="1" t="s">
        <v>92</v>
      </c>
      <c r="R92" s="1" t="s">
        <v>34</v>
      </c>
      <c r="S92" s="1">
        <v>115.0</v>
      </c>
      <c r="T92" s="1">
        <v>1.2545005E8</v>
      </c>
      <c r="U92" s="1">
        <f t="shared" si="0"/>
        <v>1.25453149E8</v>
      </c>
    </row>
    <row r="93">
      <c r="A93" s="1">
        <v>92.0</v>
      </c>
      <c r="B93" s="1">
        <v>5.0</v>
      </c>
      <c r="C93" s="1">
        <v>3.0</v>
      </c>
      <c r="D93" s="1" t="s">
        <v>148</v>
      </c>
      <c r="E93" s="1">
        <v>345.0</v>
      </c>
      <c r="F93" s="1">
        <v>2908.0</v>
      </c>
      <c r="G93" s="1" t="s">
        <v>29</v>
      </c>
      <c r="H93" s="1" t="s">
        <v>67</v>
      </c>
      <c r="I93" s="1" t="s">
        <v>68</v>
      </c>
      <c r="J93" s="1">
        <v>4.25</v>
      </c>
      <c r="K93" s="1">
        <v>13.0</v>
      </c>
      <c r="L93" s="1">
        <v>92.0</v>
      </c>
      <c r="M93" s="1">
        <v>7372.0</v>
      </c>
      <c r="N93" s="1">
        <v>33.0</v>
      </c>
      <c r="O93" s="1">
        <v>1.0</v>
      </c>
      <c r="P93" s="1" t="s">
        <v>48</v>
      </c>
      <c r="Q93" s="1" t="s">
        <v>38</v>
      </c>
      <c r="R93" s="1" t="s">
        <v>39</v>
      </c>
      <c r="S93" s="1">
        <v>0.7</v>
      </c>
      <c r="T93" s="1">
        <v>702282.0</v>
      </c>
      <c r="U93" s="1">
        <f t="shared" si="0"/>
        <v>709654.0</v>
      </c>
    </row>
    <row r="94">
      <c r="A94" s="1">
        <v>93.0</v>
      </c>
      <c r="B94" s="1">
        <v>10.0</v>
      </c>
      <c r="C94" s="1">
        <v>5.0</v>
      </c>
      <c r="D94" s="1" t="s">
        <v>79</v>
      </c>
      <c r="E94" s="1">
        <v>373.0</v>
      </c>
      <c r="F94" s="1">
        <v>4356.0</v>
      </c>
      <c r="G94" s="1" t="s">
        <v>47</v>
      </c>
      <c r="H94" s="1" t="s">
        <v>45</v>
      </c>
      <c r="I94" s="1" t="s">
        <v>42</v>
      </c>
      <c r="J94" s="1">
        <v>3.68</v>
      </c>
      <c r="K94" s="1">
        <v>16.0</v>
      </c>
      <c r="L94" s="1">
        <v>93.0</v>
      </c>
      <c r="M94" s="1">
        <v>4409.0</v>
      </c>
      <c r="N94" s="1">
        <v>14.0</v>
      </c>
      <c r="O94" s="1">
        <v>0.0</v>
      </c>
      <c r="P94" s="1" t="s">
        <v>37</v>
      </c>
      <c r="Q94" s="1" t="s">
        <v>38</v>
      </c>
      <c r="R94" s="1" t="s">
        <v>39</v>
      </c>
      <c r="S94" s="1">
        <v>95.0</v>
      </c>
      <c r="T94" s="1">
        <v>1.5435486E8</v>
      </c>
      <c r="U94" s="1">
        <f t="shared" si="0"/>
        <v>1.54359269E8</v>
      </c>
    </row>
    <row r="95">
      <c r="A95" s="1">
        <v>94.0</v>
      </c>
      <c r="B95" s="1">
        <v>2.0</v>
      </c>
      <c r="C95" s="1">
        <v>1.0</v>
      </c>
      <c r="D95" s="1" t="s">
        <v>149</v>
      </c>
      <c r="E95" s="1">
        <v>372.0</v>
      </c>
      <c r="F95" s="1">
        <v>1993.0</v>
      </c>
      <c r="G95" s="1" t="s">
        <v>70</v>
      </c>
      <c r="H95" s="1" t="s">
        <v>41</v>
      </c>
      <c r="I95" s="1" t="s">
        <v>42</v>
      </c>
      <c r="J95" s="1">
        <v>4.17</v>
      </c>
      <c r="K95" s="1">
        <v>16.0</v>
      </c>
      <c r="L95" s="1">
        <v>94.0</v>
      </c>
      <c r="M95" s="1">
        <v>3274.0</v>
      </c>
      <c r="N95" s="1">
        <v>23.0</v>
      </c>
      <c r="O95" s="1">
        <v>1.0</v>
      </c>
      <c r="P95" s="1" t="s">
        <v>64</v>
      </c>
      <c r="Q95" s="1" t="s">
        <v>65</v>
      </c>
      <c r="R95" s="1" t="s">
        <v>27</v>
      </c>
      <c r="S95" s="1">
        <v>115.0</v>
      </c>
      <c r="T95" s="1">
        <v>8.526054E7</v>
      </c>
      <c r="U95" s="1">
        <f t="shared" si="0"/>
        <v>8.5263814E7</v>
      </c>
    </row>
    <row r="96">
      <c r="A96" s="1">
        <v>95.0</v>
      </c>
      <c r="B96" s="1">
        <v>10.0</v>
      </c>
      <c r="C96" s="1">
        <v>5.0</v>
      </c>
      <c r="D96" s="1" t="s">
        <v>150</v>
      </c>
      <c r="E96" s="1">
        <v>107.0</v>
      </c>
      <c r="F96" s="1">
        <v>1612.0</v>
      </c>
      <c r="G96" s="1" t="s">
        <v>36</v>
      </c>
      <c r="H96" s="1" t="s">
        <v>45</v>
      </c>
      <c r="I96" s="1" t="s">
        <v>42</v>
      </c>
      <c r="J96" s="1">
        <v>3.68</v>
      </c>
      <c r="K96" s="1">
        <v>16.0</v>
      </c>
      <c r="L96" s="1">
        <v>95.0</v>
      </c>
      <c r="M96" s="1">
        <v>3489.0</v>
      </c>
      <c r="N96" s="1">
        <v>29.0</v>
      </c>
      <c r="O96" s="1">
        <v>0.0</v>
      </c>
      <c r="P96" s="1" t="s">
        <v>37</v>
      </c>
      <c r="Q96" s="1" t="s">
        <v>38</v>
      </c>
      <c r="R96" s="1" t="s">
        <v>39</v>
      </c>
      <c r="S96" s="1">
        <v>1.0</v>
      </c>
      <c r="T96" s="1">
        <v>172484.0</v>
      </c>
      <c r="U96" s="1">
        <f t="shared" si="0"/>
        <v>175973.0</v>
      </c>
    </row>
    <row r="97">
      <c r="A97" s="1">
        <v>96.0</v>
      </c>
      <c r="B97" s="1">
        <v>2.0</v>
      </c>
      <c r="C97" s="1">
        <v>4.0</v>
      </c>
      <c r="D97" s="1" t="s">
        <v>151</v>
      </c>
      <c r="E97" s="1">
        <v>234.0</v>
      </c>
      <c r="F97" s="1">
        <v>2056.0</v>
      </c>
      <c r="G97" s="1" t="s">
        <v>70</v>
      </c>
      <c r="H97" s="1" t="s">
        <v>41</v>
      </c>
      <c r="I97" s="1" t="s">
        <v>42</v>
      </c>
      <c r="J97" s="1">
        <v>4.17</v>
      </c>
      <c r="K97" s="1">
        <v>16.0</v>
      </c>
      <c r="L97" s="1">
        <v>96.0</v>
      </c>
      <c r="M97" s="1">
        <v>8406.0</v>
      </c>
      <c r="N97" s="1">
        <v>16.0</v>
      </c>
      <c r="O97" s="1">
        <v>1.0</v>
      </c>
      <c r="P97" s="1" t="s">
        <v>25</v>
      </c>
      <c r="Q97" s="1" t="s">
        <v>26</v>
      </c>
      <c r="R97" s="1" t="s">
        <v>27</v>
      </c>
      <c r="S97" s="1">
        <v>115.0</v>
      </c>
      <c r="T97" s="1">
        <v>5.532696E7</v>
      </c>
      <c r="U97" s="1">
        <f t="shared" si="0"/>
        <v>5.5335366E7</v>
      </c>
    </row>
    <row r="98">
      <c r="A98" s="1">
        <v>97.0</v>
      </c>
      <c r="B98" s="1">
        <v>1.0</v>
      </c>
      <c r="C98" s="1">
        <v>7.0</v>
      </c>
      <c r="D98" s="1" t="s">
        <v>152</v>
      </c>
      <c r="E98" s="1">
        <v>429.0</v>
      </c>
      <c r="F98" s="1">
        <v>4406.0</v>
      </c>
      <c r="G98" s="1" t="s">
        <v>22</v>
      </c>
      <c r="H98" s="1" t="s">
        <v>30</v>
      </c>
      <c r="I98" s="1" t="s">
        <v>31</v>
      </c>
      <c r="J98" s="1">
        <v>4.65</v>
      </c>
      <c r="K98" s="1">
        <v>14.0</v>
      </c>
      <c r="L98" s="1">
        <v>97.0</v>
      </c>
      <c r="M98" s="1">
        <v>8679.0</v>
      </c>
      <c r="N98" s="1">
        <v>19.0</v>
      </c>
      <c r="O98" s="1">
        <v>1.0</v>
      </c>
      <c r="P98" s="1" t="s">
        <v>56</v>
      </c>
      <c r="Q98" s="1" t="s">
        <v>57</v>
      </c>
      <c r="R98" s="1" t="s">
        <v>34</v>
      </c>
      <c r="S98" s="1">
        <v>85.0</v>
      </c>
      <c r="T98" s="1">
        <v>1.6066479E8</v>
      </c>
      <c r="U98" s="1">
        <f t="shared" si="0"/>
        <v>1.60673469E8</v>
      </c>
    </row>
    <row r="99">
      <c r="A99" s="1">
        <v>98.0</v>
      </c>
      <c r="B99" s="1">
        <v>9.0</v>
      </c>
      <c r="C99" s="1">
        <v>9.0</v>
      </c>
      <c r="D99" s="1" t="s">
        <v>113</v>
      </c>
      <c r="E99" s="1">
        <v>138.0</v>
      </c>
      <c r="F99" s="1">
        <v>1855.0</v>
      </c>
      <c r="G99" s="1" t="s">
        <v>22</v>
      </c>
      <c r="H99" s="1" t="s">
        <v>72</v>
      </c>
      <c r="I99" s="1" t="s">
        <v>73</v>
      </c>
      <c r="J99" s="1">
        <v>3.66</v>
      </c>
      <c r="K99" s="1">
        <v>16.0</v>
      </c>
      <c r="L99" s="1">
        <v>98.0</v>
      </c>
      <c r="M99" s="1">
        <v>9775.0</v>
      </c>
      <c r="N99" s="1">
        <v>31.0</v>
      </c>
      <c r="O99" s="1">
        <v>1.0</v>
      </c>
      <c r="P99" s="1" t="s">
        <v>74</v>
      </c>
      <c r="Q99" s="1" t="s">
        <v>75</v>
      </c>
      <c r="R99" s="1" t="s">
        <v>27</v>
      </c>
      <c r="S99" s="1">
        <v>85.0</v>
      </c>
      <c r="T99" s="1">
        <v>2.175915E7</v>
      </c>
      <c r="U99" s="1">
        <f t="shared" si="0"/>
        <v>2.1768925E7</v>
      </c>
    </row>
    <row r="100">
      <c r="A100" s="1">
        <v>99.0</v>
      </c>
      <c r="B100" s="1">
        <v>6.0</v>
      </c>
      <c r="C100" s="1">
        <v>8.0</v>
      </c>
      <c r="D100" s="1" t="s">
        <v>153</v>
      </c>
      <c r="E100" s="1">
        <v>121.0</v>
      </c>
      <c r="F100" s="1">
        <v>3939.0</v>
      </c>
      <c r="G100" s="1" t="s">
        <v>70</v>
      </c>
      <c r="H100" s="1" t="s">
        <v>54</v>
      </c>
      <c r="I100" s="1" t="s">
        <v>51</v>
      </c>
      <c r="J100" s="1">
        <v>3.89</v>
      </c>
      <c r="K100" s="1">
        <v>21.0</v>
      </c>
      <c r="L100" s="1">
        <v>99.0</v>
      </c>
      <c r="M100" s="1">
        <v>7743.0</v>
      </c>
      <c r="N100" s="1">
        <v>22.0</v>
      </c>
      <c r="O100" s="1">
        <v>1.0</v>
      </c>
      <c r="P100" s="1" t="s">
        <v>32</v>
      </c>
      <c r="Q100" s="1" t="s">
        <v>33</v>
      </c>
      <c r="R100" s="1" t="s">
        <v>34</v>
      </c>
      <c r="S100" s="1">
        <v>115.0</v>
      </c>
      <c r="T100" s="1">
        <v>5.4811185E7</v>
      </c>
      <c r="U100" s="1">
        <f t="shared" si="0"/>
        <v>5.4818928E7</v>
      </c>
    </row>
    <row r="101">
      <c r="A101" s="1">
        <v>100.0</v>
      </c>
      <c r="B101" s="1">
        <v>6.0</v>
      </c>
      <c r="C101" s="1">
        <v>9.0</v>
      </c>
      <c r="D101" s="1" t="s">
        <v>154</v>
      </c>
      <c r="E101" s="1">
        <v>178.0</v>
      </c>
      <c r="F101" s="1">
        <v>3324.0</v>
      </c>
      <c r="G101" s="1" t="s">
        <v>53</v>
      </c>
      <c r="H101" s="1" t="s">
        <v>54</v>
      </c>
      <c r="I101" s="1" t="s">
        <v>51</v>
      </c>
      <c r="J101" s="1">
        <v>3.89</v>
      </c>
      <c r="K101" s="1">
        <v>21.0</v>
      </c>
      <c r="L101" s="1">
        <v>100.0</v>
      </c>
      <c r="M101" s="1">
        <v>5626.0</v>
      </c>
      <c r="N101" s="1">
        <v>10.0</v>
      </c>
      <c r="O101" s="1">
        <v>0.0</v>
      </c>
      <c r="P101" s="1" t="s">
        <v>74</v>
      </c>
      <c r="Q101" s="1" t="s">
        <v>75</v>
      </c>
      <c r="R101" s="1" t="s">
        <v>27</v>
      </c>
      <c r="S101" s="1">
        <v>11.5</v>
      </c>
      <c r="T101" s="1">
        <v>6804228.0</v>
      </c>
      <c r="U101" s="1">
        <f t="shared" si="0"/>
        <v>6809854.0</v>
      </c>
    </row>
  </sheetData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7"/>
  <sheetViews>
    <sheetView workbookViewId="0"/>
  </sheetViews>
  <sheetFormatPr defaultRowHeight="14.0" customHeight="1"/>
  <cols>
    <col min="1" max="1" width="20.13"/>
    <col min="2" max="2" width="16.42"/>
    <col min="3" max="3" width="10.59"/>
  </cols>
  <sheetData>
    <row r="1">
      <c r="A1" s="2"/>
    </row>
    <row r="2">
      <c r="A2" t="s">
        <v>155</v>
      </c>
      <c r="B2" s="2" t="s">
        <v>156</v>
      </c>
    </row>
    <row r="3">
      <c r="A3" s="2"/>
    </row>
    <row r="4">
      <c r="A4" s="1" t="s">
        <v>157</v>
      </c>
      <c r="B4">
        <f>SUM('Datasets'!T2:T101)</f>
        <v>5.3334818062E9</v>
      </c>
    </row>
    <row r="5">
      <c r="A5" t="s">
        <v>158</v>
      </c>
      <c r="B5">
        <f>AVERAGE('Datasets'!O2:O101)</f>
        <v>0.54</v>
      </c>
    </row>
    <row r="6">
      <c r="A6" t="s">
        <v>159</v>
      </c>
      <c r="B6">
        <f>1-B5</f>
        <v>0.46</v>
      </c>
    </row>
    <row r="7">
      <c r="A7" t="s">
        <v>160</v>
      </c>
      <c r="B7">
        <f>COUNT('Datasets'!A2:A101)</f>
        <v>100.0</v>
      </c>
    </row>
  </sheetData>
  <tableParts count="1">
    <tablePart r:id="rId1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7"/>
  <sheetViews>
    <sheetView workbookViewId="0"/>
  </sheetViews>
  <sheetFormatPr defaultRowHeight="14.0" customHeight="1"/>
  <cols>
    <col min="1" max="1" width="17.09"/>
    <col min="2" max="3" width="21.86"/>
    <col min="4" max="4" width="18.94"/>
    <col min="5" max="5" width="15.1"/>
    <col min="6" max="6" width="15.1"/>
    <col min="7" max="7" width="15.1"/>
    <col min="8" max="8" width="15.1"/>
    <col min="9" max="9" width="15.1"/>
    <col min="10" max="10" width="10.59"/>
  </cols>
  <sheetData>
    <row r="1"/>
    <row r="2">
      <c r="E2" s="3" t="s">
        <v>161</v>
      </c>
      <c r="F2" s="3" t="s">
        <v>162</v>
      </c>
      <c r="G2" s="3" t="s">
        <v>163</v>
      </c>
      <c r="H2" s="3" t="s">
        <v>164</v>
      </c>
      <c r="I2" s="3" t="s">
        <v>165</v>
      </c>
    </row>
    <row r="3">
      <c r="E3">
        <f>GETPIVOTDATA("Sum of total_cost_inr",$A$1,"vendor_name","123 Enterprises")/B15</f>
        <v>0.470012686165969</v>
      </c>
      <c r="F3">
        <f>GETPIVOTDATA("Average of delay_flag",$A$1,"vendor_name","123 Enterprises")/C15</f>
        <v>0.7</v>
      </c>
      <c r="G3">
        <f>GETPIVOTDATA("Average of ratings",$A$1,"vendor_name","123 Enterprises")/D15</f>
        <v>0.874485596707819</v>
      </c>
      <c r="H3">
        <f t="shared" ref="H3:H12" si="3">1-G3</f>
        <v>0.125514403292181</v>
      </c>
      <c r="I3">
        <f t="shared" ref="I3:I12" si="4">0.5*E3+0.3*F3+0.2*H3</f>
        <v>0.47010922374142</v>
      </c>
    </row>
    <row r="4">
      <c r="E4" s="1">
        <f>GETPIVOTDATA("Sum of total_cost_inr",$A$1,"vendor_name","ABC Corp")/B15</f>
        <v>0.531523958445263</v>
      </c>
      <c r="F4">
        <f>GETPIVOTDATA("Average of delay_flag",$A$1,"vendor_name","ABC Corp")/C15</f>
        <v>0.933333333333333</v>
      </c>
      <c r="G4">
        <f>GETPIVOTDATA("Average of ratings",$A$1,"vendor_name","ABC Corp")/D15</f>
        <v>0.95679012345679</v>
      </c>
      <c r="H4" s="1">
        <f t="shared" si="3"/>
        <v>0.04320987654321</v>
      </c>
      <c r="I4" s="1">
        <f t="shared" si="4"/>
        <v>0.554403954531273</v>
      </c>
    </row>
    <row r="5">
      <c r="E5" s="1">
        <f>GETPIVOTDATA("Sum of total_cost_inr",$A$1,"vendor_name","Best Buy")/B15</f>
        <v>1.0</v>
      </c>
      <c r="F5">
        <f>GETPIVOTDATA("Average of delay_flag",$A$1,"vendor_name","Best Buy")/C15</f>
        <v>0.486111111111111</v>
      </c>
      <c r="G5">
        <f>GETPIVOTDATA("Average of ratings",$A$1,"vendor_name","Best Buy")/D15</f>
        <v>0.91358024691358</v>
      </c>
      <c r="H5" s="1">
        <f t="shared" si="3"/>
        <v>0.08641975308642</v>
      </c>
      <c r="I5" s="1">
        <f t="shared" si="4"/>
        <v>0.663117283950617</v>
      </c>
    </row>
    <row r="6">
      <c r="E6" s="1">
        <f>GETPIVOTDATA("Sum of total_cost_inr",$A$1,"vendor_name","Global Industries")/B15</f>
        <v>0.441291731944823</v>
      </c>
      <c r="F6">
        <f>GETPIVOTDATA("Average of delay_flag",$A$1,"vendor_name","Global Industries")/C15</f>
        <v>0.466666666666667</v>
      </c>
      <c r="G6">
        <f>GETPIVOTDATA("Average of ratings",$A$1,"vendor_name","Global Industries")/D15</f>
        <v>1.0</v>
      </c>
      <c r="H6" s="1">
        <f t="shared" si="3"/>
        <v>0.0</v>
      </c>
      <c r="I6" s="1">
        <f t="shared" si="4"/>
        <v>0.360645865972411</v>
      </c>
    </row>
    <row r="7">
      <c r="E7" s="1">
        <f>GETPIVOTDATA("Sum of total_cost_inr",$A$1,"vendor_name","Golden Gate")/B15</f>
        <v>0.369876205263342</v>
      </c>
      <c r="F7">
        <f>GETPIVOTDATA("Average of delay_flag",$A$1,"vendor_name","Golden Gate")/C15</f>
        <v>0.466666666666667</v>
      </c>
      <c r="G7">
        <f>GETPIVOTDATA("Average of ratings",$A$1,"vendor_name","Golden Gate")/D15</f>
        <v>0.757201646090535</v>
      </c>
      <c r="H7" s="1">
        <f t="shared" si="3"/>
        <v>0.242798353909465</v>
      </c>
      <c r="I7" s="1">
        <f t="shared" si="4"/>
        <v>0.373497773413564</v>
      </c>
    </row>
    <row r="8">
      <c r="E8" s="1">
        <f>GETPIVOTDATA("Sum of total_cost_inr",$A$1,"vendor_name","Mountain View")/B15</f>
        <v>0.830121585531551</v>
      </c>
      <c r="F8">
        <f>GETPIVOTDATA("Average of delay_flag",$A$1,"vendor_name","Mountain View")/C15</f>
        <v>0.628205128205128</v>
      </c>
      <c r="G8">
        <f>GETPIVOTDATA("Average of ratings",$A$1,"vendor_name","Mountain View")/D15</f>
        <v>0.790123456790123</v>
      </c>
      <c r="H8" s="1">
        <f t="shared" si="3"/>
        <v>0.209876543209877</v>
      </c>
      <c r="I8" s="1">
        <f t="shared" si="4"/>
        <v>0.645497639869289</v>
      </c>
    </row>
    <row r="9">
      <c r="E9" s="1">
        <f>GETPIVOTDATA("Sum of total_cost_inr",$A$1,"vendor_name","Ocean Blue")/B15</f>
        <v>0.532188114329277</v>
      </c>
      <c r="F9">
        <f>GETPIVOTDATA("Average of delay_flag",$A$1,"vendor_name","Ocean Blue")/C15</f>
        <v>0.628205128205128</v>
      </c>
      <c r="G9">
        <f>GETPIVOTDATA("Average of ratings",$A$1,"vendor_name","Ocean Blue")/D15</f>
        <v>0.753086419753086</v>
      </c>
      <c r="H9" s="1">
        <f t="shared" si="3"/>
        <v>0.246913580246914</v>
      </c>
      <c r="I9" s="1">
        <f t="shared" si="4"/>
        <v>0.50393831167556</v>
      </c>
    </row>
    <row r="10">
      <c r="E10" s="1">
        <f>GETPIVOTDATA("Sum of total_cost_inr",$A$1,"vendor_name","Sunshine Co")/B15</f>
        <v>0.402008643517973</v>
      </c>
      <c r="F10">
        <f>GETPIVOTDATA("Average of delay_flag",$A$1,"vendor_name","Sunshine Co")/C15</f>
        <v>1.0</v>
      </c>
      <c r="G10">
        <f>GETPIVOTDATA("Average of ratings",$A$1,"vendor_name","Sunshine Co")/D15</f>
        <v>0.874485596707819</v>
      </c>
      <c r="H10" s="1">
        <f t="shared" si="3"/>
        <v>0.125514403292181</v>
      </c>
      <c r="I10" s="1">
        <f t="shared" si="4"/>
        <v>0.526107202417423</v>
      </c>
    </row>
    <row r="11">
      <c r="E11" s="1">
        <f>GETPIVOTDATA("Sum of total_cost_inr",$A$1,"vendor_name","Tech Solutions")/B15</f>
        <v>0.40072109824989</v>
      </c>
      <c r="F11">
        <f>GETPIVOTDATA("Average of delay_flag",$A$1,"vendor_name","Tech Solutions")/C15</f>
        <v>0.388888888888889</v>
      </c>
      <c r="G11">
        <f>GETPIVOTDATA("Average of ratings",$A$1,"vendor_name","Tech Solutions")/D15</f>
        <v>0.800411522633744</v>
      </c>
      <c r="H11" s="1">
        <f t="shared" si="3"/>
        <v>0.199588477366256</v>
      </c>
      <c r="I11" s="1">
        <f t="shared" si="4"/>
        <v>0.356944911264862</v>
      </c>
    </row>
    <row r="12">
      <c r="E12" s="1">
        <f>GETPIVOTDATA("Sum of total_cost_inr",$A$1,"vendor_name","XYZ Inc")/B15</f>
        <v>0.527290290113462</v>
      </c>
      <c r="F12">
        <f>GETPIVOTDATA("Average of delay_flag",$A$1,"vendor_name","XYZ Inc")/C15</f>
        <v>0.636363636363636</v>
      </c>
      <c r="G12">
        <f>GETPIVOTDATA("Average of ratings",$A$1,"vendor_name","XYZ Inc")/D15</f>
        <v>0.858024691358024</v>
      </c>
      <c r="H12" s="1">
        <f t="shared" si="3"/>
        <v>0.141975308641976</v>
      </c>
      <c r="I12" s="1">
        <f t="shared" si="4"/>
        <v>0.482949297694216</v>
      </c>
    </row>
    <row r="13">
      <c r="E13" s="1"/>
    </row>
    <row r="15">
      <c r="A15" t="s">
        <v>166</v>
      </c>
      <c r="B15">
        <f>MAX(B3:B12)</f>
        <v>9.688371593E8</v>
      </c>
      <c r="C15">
        <f>MAX(C3:C12)</f>
        <v>0.857142857142857</v>
      </c>
      <c r="D15">
        <f>MAX(D3:D12)</f>
        <v>4.86</v>
      </c>
    </row>
    <row r="17" ht="43.0">
      <c r="D17" s="4" t="s">
        <v>167</v>
      </c>
    </row>
  </sheetData>
  <tableParts count="1">
    <tablePart r:id="rId1"/>
  </tableParts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12"/>
  <sheetViews>
    <sheetView workbookViewId="0"/>
  </sheetViews>
  <sheetFormatPr defaultRowHeight="14.0" customHeight="1"/>
  <cols>
    <col min="1" max="1" width="25.43"/>
    <col min="2" max="2" width="15.1"/>
    <col min="3" max="3" width="15.1"/>
    <col min="4" max="4" width="15.1"/>
    <col min="5" max="5" width="13.11"/>
    <col min="6" max="6" width="15.1"/>
    <col min="7" max="7" width="13.11"/>
    <col min="8" max="8" width="15.1"/>
    <col min="9" max="9" width="15.1"/>
  </cols>
  <sheetData>
    <row r="1"/>
    <row r="2">
      <c r="I2" s="2"/>
    </row>
    <row r="3">
      <c r="I3" s="2"/>
    </row>
    <row r="4">
      <c r="I4" s="2"/>
    </row>
    <row r="5">
      <c r="I5" s="2"/>
    </row>
    <row r="6">
      <c r="I6" s="2"/>
    </row>
    <row r="7">
      <c r="I7" s="2"/>
    </row>
    <row r="8">
      <c r="I8" s="2"/>
    </row>
    <row r="9">
      <c r="I9" s="2"/>
    </row>
    <row r="10">
      <c r="I10" s="2"/>
    </row>
    <row r="11">
      <c r="I11" s="2"/>
    </row>
    <row r="12"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</row>
    <row r="15">
      <c r="A15" s="2"/>
      <c r="B15" s="2"/>
    </row>
  </sheetData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2026-04-21T13:02:11Z</dcterms:created>
</cp:coreProperties>
</file>