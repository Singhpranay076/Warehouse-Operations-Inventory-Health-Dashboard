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<sst xmlns="http://schemas.openxmlformats.org/spreadsheetml/2006/main" count="187" uniqueCount="187">
  <si>
    <t>order_id</t>
  </si>
  <si>
    <t>product_id</t>
  </si>
  <si>
    <t>product_name</t>
  </si>
  <si>
    <t>product_category</t>
  </si>
  <si>
    <t>supplier_id</t>
  </si>
  <si>
    <t>warehouse_id</t>
  </si>
  <si>
    <t>Region</t>
  </si>
  <si>
    <t>order_date</t>
  </si>
  <si>
    <t>delivery_date</t>
  </si>
  <si>
    <t>lead_time_days</t>
  </si>
  <si>
    <t>quantity_sold</t>
  </si>
  <si>
    <t>cost_per_unit</t>
  </si>
  <si>
    <t>selling_price</t>
  </si>
  <si>
    <t>stock_on_hand</t>
  </si>
  <si>
    <t>reorder_point</t>
  </si>
  <si>
    <t>safety_stock</t>
  </si>
  <si>
    <t>on_time</t>
  </si>
  <si>
    <t>Volume</t>
  </si>
  <si>
    <t>ORD01</t>
  </si>
  <si>
    <t>PRT01</t>
  </si>
  <si>
    <t>Ceramic Knife Set</t>
  </si>
  <si>
    <t>Kitchen</t>
  </si>
  <si>
    <t>VenK</t>
  </si>
  <si>
    <t>Warehouse S-20</t>
  </si>
  <si>
    <t>South</t>
  </si>
  <si>
    <t>On time</t>
  </si>
  <si>
    <t>FIne</t>
  </si>
  <si>
    <t>ORD02</t>
  </si>
  <si>
    <t>PRT02</t>
  </si>
  <si>
    <t>Memory Foam Pillow</t>
  </si>
  <si>
    <t>Home</t>
  </si>
  <si>
    <t>VenH</t>
  </si>
  <si>
    <t>Warehouse N-10</t>
  </si>
  <si>
    <t>North</t>
  </si>
  <si>
    <t>ORD03</t>
  </si>
  <si>
    <t>PRT03</t>
  </si>
  <si>
    <t>Basmati Rice</t>
  </si>
  <si>
    <t>Food - Gourmet Rice</t>
  </si>
  <si>
    <t>VenG</t>
  </si>
  <si>
    <t>Overstock</t>
  </si>
  <si>
    <t>ORD04</t>
  </si>
  <si>
    <t>PRT04</t>
  </si>
  <si>
    <t>Heat-Resistant Silicone Mat</t>
  </si>
  <si>
    <t>Late</t>
  </si>
  <si>
    <t>ORD05</t>
  </si>
  <si>
    <t>PRT05</t>
  </si>
  <si>
    <t>Raspberry Mocktail</t>
  </si>
  <si>
    <t>Food - Beverages</t>
  </si>
  <si>
    <t>Warehouse W-30</t>
  </si>
  <si>
    <t>West</t>
  </si>
  <si>
    <t>ORD06</t>
  </si>
  <si>
    <t>PRT06</t>
  </si>
  <si>
    <t>Portable Air Conditioner</t>
  </si>
  <si>
    <t>Home Appliances</t>
  </si>
  <si>
    <t>ORD07</t>
  </si>
  <si>
    <t>PRT07</t>
  </si>
  <si>
    <t>Potato Cheese Chips</t>
  </si>
  <si>
    <t>Food - Snacks</t>
  </si>
  <si>
    <t>ORD08</t>
  </si>
  <si>
    <t>PRT08</t>
  </si>
  <si>
    <t>Ergonomic Gaming Chair</t>
  </si>
  <si>
    <t>Gaming</t>
  </si>
  <si>
    <t>VenX</t>
  </si>
  <si>
    <t>Warehouse E-40</t>
  </si>
  <si>
    <t>East</t>
  </si>
  <si>
    <t>ORD09</t>
  </si>
  <si>
    <t>PRT09</t>
  </si>
  <si>
    <t>Pumpkin Puree</t>
  </si>
  <si>
    <t>Food - Canned Goods</t>
  </si>
  <si>
    <t>ORD10</t>
  </si>
  <si>
    <t>PRT10</t>
  </si>
  <si>
    <t>Oven Thermometer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</si>
  <si>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</si>
  <si>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</si>
  <si>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</si>
  <si>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</si>
  <si>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</si>
  <si>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</si>
  <si>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</si>
  <si>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</si>
  <si>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</si>
  <si>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</si>
  <si>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</si>
  <si>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</si>
  <si>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</si>
  <si>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</si>
  <si>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</si>
  <si>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</si>
  <si>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</si>
  <si>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</si>
  <si>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</si>
  <si>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</si>
  <si>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</si>
  <si>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</si>
  <si>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</si>
  <si>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</si>
  <si>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</si>
  <si>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</si>
  <si>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</si>
  <si>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</si>
  <si>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</si>
  <si>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</si>
  <si>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</si>
  <si>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</si>
  <si>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</si>
  <si>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</si>
  <si>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</si>
  <si>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</si>
  <si>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</si>
  <si>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</si>
  <si>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</si>
  <si>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</si>
  <si>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</si>
  <si>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</si>
  <si>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</si>
  <si>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</si>
  <si>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</si>
  <si>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</si>
  <si>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</si>
  <si>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</si>
  <si>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</si>
  <si>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</si>
  <si>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</si>
  <si>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</si>
  <si>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</si>
  <si>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</si>
  <si>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</si>
  <si>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</si>
  <si>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</si>
  <si>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</si>
  <si>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</si>
  <si>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</si>
  <si>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</si>
  <si>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</si>
  <si>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</si>
  <si>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</si>
  <si>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</si>
  <si>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</si>
  <si>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</si>
  <si>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</si>
  <si>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</si>
  <si>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</si>
  <si>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</si>
  <si>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</si>
  <si>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</si>
  <si>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</si>
  <si>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</si>
  <si>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</si>
  <si>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</si>
  <si>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</si>
  <si>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</si>
  <si>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</si>
  <si>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</si>
  <si>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</si>
  <si>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</si>
  <si>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</si>
  <si>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</si>
  <si>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</si>
  <si>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</si>
  <si>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</si>
  <si>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</si>
  <si>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</si>
  <si>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Order_id</t>
  </si>
  <si>
    <t>Product_name</t>
  </si>
  <si>
    <t>Warehouse_Id</t>
  </si>
  <si>
    <t>Units</t>
  </si>
  <si>
    <t>Order_date</t>
  </si>
  <si>
    <t>Delivery_date</t>
  </si>
  <si>
    <r>
      <rPr>
        <sz val="10"/>
        <rFont val="Roboto"/>
      </rPr>
      <t>Leadtime</t>
    </r>
  </si>
  <si>
    <t>Late_shipment</t>
  </si>
  <si>
    <t>check IF using AND</t>
  </si>
  <si>
    <t>check IFS</t>
  </si>
  <si>
    <t>Fine</t>
  </si>
  <si>
    <t>High</t>
  </si>
  <si>
    <t>Column1</t>
  </si>
  <si>
    <t>Column2</t>
  </si>
  <si>
    <t>Column3</t>
  </si>
  <si>
    <t xml:space="preserve">On time </t>
  </si>
  <si>
    <t>Concern</t>
  </si>
  <si>
    <t>KPIs</t>
  </si>
  <si>
    <t>Doesn't Exist</t>
  </si>
  <si>
    <t>Appropriate</t>
  </si>
  <si>
    <t>Medium</t>
  </si>
  <si>
    <t>On-Time Delivery Rate</t>
  </si>
  <si>
    <t>Late Shipment %</t>
  </si>
  <si>
    <t>Average Delivery Time (Late only)</t>
  </si>
  <si>
    <t>Total Cost of Problem Shipments</t>
  </si>
</sst>
</file>

<file path=xl/styles.xml><?xml version="1.0" encoding="utf-8"?>
<styleSheet xmlns="http://schemas.openxmlformats.org/spreadsheetml/2006/main">
  <numFmts count="5">
    <numFmt formatCode="yyyy-mmm-dd" numFmtId="164"/>
    <numFmt formatCode="dd" numFmtId="165"/>
    <numFmt formatCode="yyyy-mm-dd" numFmtId="166"/>
    <numFmt formatCode="dd/mm/yyyy h:mm:ss AM/PM" numFmtId="167"/>
    <numFmt formatCode="d/m/yy" numFmtId="168"/>
  </numFmts>
  <fonts count="8">
    <font>
      <sz val="10"/>
      <color rgb="FF000000"/>
      <name val="Roboto"/>
    </font>
    <font>
      <sz val="10"/>
      <name val="Roboto"/>
    </font>
    <font>
      <sz val="10"/>
      <name val="Roboto"/>
    </font>
    <font>
      <b/>
      <sz val="11"/>
      <name val="Calibri"/>
    </font>
    <font>
      <sz val="11"/>
      <name val="Calibri"/>
    </font>
    <font>
      <sz val="11"/>
      <name val="Arial"/>
    </font>
    <font>
      <b/>
      <sz val="1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16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164" xfId="0">
      <alignment vertical="bottom"/>
    </xf>
    <xf borderId="1" fillId="0" fontId="3" numFmtId="0" xfId="0">
      <alignment horizontal="center" vertical="top"/>
    </xf>
    <xf borderId="1" fillId="0" fontId="3" numFmtId="164" xfId="0">
      <alignment horizontal="center" vertical="top"/>
    </xf>
    <xf borderId="0" fillId="0" fontId="4" numFmtId="0" xfId="0">
      <alignment vertical="bottom"/>
    </xf>
    <xf borderId="0" fillId="0" fontId="5" numFmtId="164" xfId="0">
      <alignment vertical="bottom"/>
    </xf>
    <xf borderId="0" fillId="0" fontId="5" numFmtId="165" xfId="0">
      <alignment vertical="bottom"/>
    </xf>
    <xf borderId="0" fillId="0" fontId="5" numFmtId="0" xfId="0">
      <alignment vertical="bottom"/>
    </xf>
    <xf borderId="0" fillId="0" fontId="2" numFmtId="0" xfId="0">
      <alignment vertical="bottom"/>
    </xf>
    <xf borderId="0" fillId="0" fontId="5" numFmtId="166" xfId="0">
      <alignment vertical="bottom"/>
    </xf>
    <xf borderId="0" fillId="0" fontId="6" numFmtId="0" xfId="0">
      <alignment vertical="bottom"/>
    </xf>
    <xf borderId="0" fillId="0" fontId="6" numFmtId="167" xfId="0">
      <alignment vertical="bottom"/>
    </xf>
    <xf borderId="0" fillId="0" fontId="1" numFmtId="168" xfId="0">
      <alignment vertical="bottom"/>
    </xf>
    <xf borderId="0" fillId="0" fontId="2" numFmtId="165" xfId="0">
      <alignment vertical="bottom"/>
    </xf>
    <xf borderId="0" fillId="0" fontId="7" numFmtId="0" xfId="0">
      <alignment vertical="bottom"/>
    </xf>
  </cellXfs>
  <cellStyles count="1">
    <cellStyle name="Normal" xfId="0" builtinId="0" customBuiltin="1"/>
  </cellStyles>
  <dxfs count="10">
    <dxf>
      <fill>
        <patternFill patternType="solid">
          <fgColor rgb="FF9BDEB4"/>
          <bgColor rgb="FF9BDEB4"/>
        </patternFill>
      </fill>
    </dxf>
    <dxf>
      <font>
        <color rgb="FF259650"/>
      </font>
      <fill>
        <patternFill patternType="solid">
          <fgColor rgb="FF9BDEB4"/>
          <bgColor rgb="FF9BDEB4"/>
        </patternFill>
      </fill>
    </dxf>
    <dxf>
      <border>
        <left style="thin">
          <color rgb="FF85C1E9"/>
        </left>
        <right style="thin">
          <color rgb="FF85C1E9"/>
        </right>
        <top style="thin">
          <color rgb="FF85C1E9"/>
        </top>
        <bottom style="thin">
          <color rgb="FF85C1E9"/>
        </bottom>
        <diagonal/>
        <vertical/>
        <horizontal style="thin">
          <color rgb="FF85C1E9"/>
        </horizontal>
      </border>
    </dxf>
    <dxf>
      <font>
        <b/>
      </font>
      <fill>
        <patternFill patternType="solid">
          <fgColor rgb="FF3498DB"/>
          <bgColor rgb="FF3498DB"/>
        </patternFill>
      </fill>
    </dxf>
    <dxf>
      <font>
        <b/>
      </font>
      <border>
        <left/>
        <right/>
        <top style="double">
          <color rgb="FF3498DB"/>
        </top>
        <bottom/>
        <diagonal/>
        <vertical/>
        <horizontal/>
      </border>
    </dxf>
    <dxf>
      <fill>
        <patternFill patternType="solid">
          <fgColor rgb="FFD6EAF8"/>
          <bgColor rgb="FFD6EAF8"/>
        </patternFill>
      </fill>
    </dxf>
    <dxf>
      <font>
        <b/>
      </font>
    </dxf>
    <dxf>
      <border>
        <left style="thin">
          <color rgb="FF3498DB"/>
        </left>
        <right style="thin">
          <color rgb="FF3498DB"/>
        </right>
        <top style="thin">
          <color rgb="FF3498DB"/>
        </top>
        <bottom style="thin">
          <color rgb="FF3498DB"/>
        </bottom>
        <diagonal/>
        <vertical/>
        <horizontal/>
      </border>
    </dxf>
    <dxf>
      <border>
        <left style="thin">
          <color rgb="FF3498DB"/>
        </left>
        <right/>
        <top/>
        <bottom/>
        <diagonal/>
        <vertical/>
        <horizontal/>
      </border>
    </dxf>
    <dxf>
      <border>
        <left/>
        <right/>
        <top style="thin">
          <color rgb="FF3498DB"/>
        </top>
        <bottom/>
        <diagonal/>
        <vertical/>
        <horizontal/>
      </border>
    </dxf>
  </dxfs>
  <tableStyles count="3" defaultPivotStyle="PivotStyleLight16" defaultTableStyle="TableStyleMedium2">
    <tableStyle name="Default Style" pivot="0" count="7">
      <tableStyleElement type="wholeTable" dxfId="2"/>
      <tableStyleElement type="headerRow" dxfId="3"/>
      <tableStyleElement type="totalRow" dxfId="4"/>
      <tableStyleElement type="firstColumnStripe" dxfId="5"/>
      <tableStyleElement type="firstRowStripe" dxfId="5"/>
      <tableStyleElement type="firstColumn" dxfId="6"/>
      <tableStyleElement type="lastColumn" dxfId="6"/>
    </tableStyle>
    <tableStyle name="Table3 Style" pivot="0" count="9">
      <tableStyleElement type="wholeTable" dxfId="7"/>
      <tableStyleElement type="headerRow" dxfId="3"/>
      <tableStyleElement type="totalRow" dxfId="4"/>
      <tableStyleElement type="firstColumnStripe" dxfId="8"/>
      <tableStyleElement type="secondColumnStripe" dxfId="8"/>
      <tableStyleElement type="firstRowStripe" dxfId="9"/>
      <tableStyleElement type="secondRowStripe" dxfId="9"/>
      <tableStyleElement type="firstColumn" dxfId="6"/>
      <tableStyleElement type="lastColumn" dxfId="6"/>
    </tableStyle>
    <tableStyle name="Default Style" pivot="0" count="7">
      <tableStyleElement type="wholeTable" dxfId="2"/>
      <tableStyleElement type="headerRow" dxfId="3"/>
      <tableStyleElement type="totalRow" dxfId="4"/>
      <tableStyleElement type="firstColumnStripe" dxfId="5"/>
      <tableStyleElement type="firstRowStripe" dxfId="5"/>
      <tableStyleElement type="firstColumn" dxfId="6"/>
      <tableStyleElement type="la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tables/table1.xml><?xml version="1.0" encoding="utf-8"?>
<table xmlns="http://schemas.openxmlformats.org/spreadsheetml/2006/main" id="1" name="Table2" displayName="Table2" ref="A1:R101">
  <tableColumns count="18">
    <tableColumn id="1" name="order_id" totalsRowLabel="Total"/>
    <tableColumn id="2" name="product_id"/>
    <tableColumn id="3" name="product_name"/>
    <tableColumn id="4" name="product_category"/>
    <tableColumn id="5" name="supplier_id"/>
    <tableColumn id="6" name="warehouse_id"/>
    <tableColumn id="7" name="Region"/>
    <tableColumn id="8" name="order_date"/>
    <tableColumn id="9" name="delivery_date"/>
    <tableColumn id="10" name="lead_time_days"/>
    <tableColumn id="11" name="quantity_sold"/>
    <tableColumn id="12" name="cost_per_unit"/>
    <tableColumn id="13" name="selling_price"/>
    <tableColumn id="14" name="stock_on_hand"/>
    <tableColumn id="15" name="reorder_point"/>
    <tableColumn id="16" name="safety_stock" totalsRowFunction="custom">
      <totalsRowFormula>SUBTOTAL(109,Table2[safety_stock])</totalsRowFormula>
    </tableColumn>
    <tableColumn id="17" name="on_time">
      <calculatedColumnFormula>IF(Table2[[#This Row],[lead_time_days]]&lt;10,"On time","Late")</calculatedColumnFormula>
    </tableColumn>
    <tableColumn id="18" name="Volume">
      <calculatedColumnFormula>IF(Table2[[#This Row],[stock_on_hand]]&gt;700,"Overstock","FIne")</calculatedColumnFormula>
    </tableColumn>
  </tableColumns>
  <tableStyleInfo name="Default Style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O105:Q111">
  <autoFilter ref="O105:Q111"/>
  <tableColumns count="3">
    <tableColumn id="1" name="Column1" totalsRowLabel="Total"/>
    <tableColumn id="2" name="Column2"/>
    <tableColumn id="3" name="Column3" totalsRowFunction="custom">
      <totalsRowFormula>SUBTOTAL(109,Table3[Column3])</totalsRowFormula>
    </tableColumn>
  </tableColumns>
  <tableStyleInfo name="Table3 Style" showFirstColumn="0" showLastColumn="0" showRowStripes="1" showColumnStripes="0"/>
</table>
</file>

<file path=xl/tables/table3.xml><?xml version="1.0" encoding="utf-8"?>
<table xmlns="http://schemas.openxmlformats.org/spreadsheetml/2006/main" id="2" name="Table1" displayName="Table1" ref="B104:M128">
  <autoFilter ref="B104:M128"/>
  <tableColumns count="12">
    <tableColumn id="1" name="Order_id" totalsRowLabel="Total"/>
    <tableColumn id="2" name="Product_name"/>
    <tableColumn id="3" name="Warehouse_Id"/>
    <tableColumn id="4" name="Region"/>
    <tableColumn id="5" name="Units">
      <calculatedColumnFormula>_xlfn.XLOOKUP(Table1[[#This Row],[Order_id]],##REF!:##REF!,I#REF!:I#REF!)</calculatedColumnFormula>
    </tableColumn>
    <tableColumn id="6" name="Order_date"/>
    <tableColumn id="7" name="Delivery_date"/>
    <tableColumn id="8" name="Leadtime"/>
    <tableColumn id="9" name="Late_shipment">
      <calculatedColumnFormula>IF(Table1[[#This Row],[Leadtime]]&lt;14,"Late","On time ")</calculatedColumnFormula>
    </tableColumn>
    <tableColumn id="10" name="Volume">
      <calculatedColumnFormula>IF(Table1[[#This Row],[Units]]&gt;700,"Overstock","Appropriate")</calculatedColumnFormula>
    </tableColumn>
    <tableColumn id="11" name="check IF using AND" totalsRowFunction="custom">
      <calculatedColumnFormula>IF(AND(Table1[[#This Row],[Region]]="North",Table1[[#This Row],[Units]]&gt;800,Table1[[#This Row],[Leadtime]]&gt;7),"Concern","Fine")</calculatedColumnFormula>
      <totalsRowFormula>SUBTOTAL(109,Table1[check IF using AND])</totalsRowFormula>
    </tableColumn>
    <tableColumn id="12" name="check IFS">
      <calculatedColumnFormula>_xlfn.IFS(Table1[[#This Row],[Units]]&gt;800,"High",Table1[[#This Row],[Units]]&gt;300,"Medium",true,"Low")</calculatedColumnFormula>
    </tableColumn>
  </tableColumns>
  <tableStyleInfo name="Default 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Target="../tables/table1.xml" Id="rId1" Type="http://schemas.openxmlformats.org/officeDocument/2006/relationships/table"/><Relationship Target="../tables/table2.xml" Id="rId2" Type="http://schemas.openxmlformats.org/officeDocument/2006/relationships/table"/><Relationship Target="../tables/table3.xml" Id="rId3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128"/>
  <sheetViews>
    <sheetView workbookViewId="0"/>
  </sheetViews>
  <sheetFormatPr defaultRowHeight="14.0" customHeight="1"/>
  <cols>
    <col min="1" max="2" width="14.3"/>
    <col min="3" max="3" style="1" width="27.29"/>
    <col min="4" max="4" style="1" width="22.92"/>
    <col min="5" max="5" width="17.62"/>
    <col min="6" max="6" style="1" width="17.09"/>
    <col min="7" max="7" width="14.57"/>
    <col min="8" max="9" style="2" width="14.3"/>
    <col min="10" max="11" width="14.3"/>
    <col min="12" max="12" width="16.16"/>
    <col min="13" max="16" width="14.3"/>
    <col min="17" max="17" width="14.3"/>
    <col min="18" max="18" width="14.3"/>
    <col min="19" max="19" width="14.3"/>
    <col min="20" max="2048" width="14.3"/>
  </cols>
  <sheetData>
    <row r="1" ht="14.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14.0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6">
        <f t="shared" ref="H2:H100" si="0">DATE(2023,1,1)+RANDBETWEEN(0,365)</f>
        <v>45045.0</v>
      </c>
      <c r="I2" s="6">
        <f t="shared" ref="I2:I101" si="1">H2+RANDBETWEEN(1,25)</f>
        <v>45046.0</v>
      </c>
      <c r="J2" s="7">
        <f t="shared" ref="J2:J101" si="2">I2-H2</f>
        <v>1.0</v>
      </c>
      <c r="K2" s="8">
        <v>31.0</v>
      </c>
      <c r="L2" s="8">
        <v>902.0</v>
      </c>
      <c r="M2" s="8">
        <f t="shared" ref="M2:M101" si="3">L2*1.5</f>
        <v>1353.0</v>
      </c>
      <c r="N2" s="8">
        <v>667.0</v>
      </c>
      <c r="O2" s="8">
        <f t="shared" ref="O2:O101" si="4">N2/2+15</f>
        <v>348.5</v>
      </c>
      <c r="P2" s="8">
        <f t="shared" ref="P2:P101" si="5">N2*0.1+15</f>
        <v>81.7</v>
      </c>
      <c r="Q2" t="s">
        <f>IF(Table2[[#This Row],[lead_time_days]]&lt;10,"On time","Late")</f>
        <v>25</v>
      </c>
      <c r="R2" t="s">
        <f>IF(Table2[[#This Row],[stock_on_hand]]&gt;700,"Overstock","FIne")</f>
        <v>26</v>
      </c>
    </row>
    <row r="3" ht="14.0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>
        <f t="shared" si="0"/>
        <v>45219.0</v>
      </c>
      <c r="I3" s="6">
        <f t="shared" si="1"/>
        <v>45220.0</v>
      </c>
      <c r="J3" s="7">
        <f t="shared" si="2"/>
        <v>1.0</v>
      </c>
      <c r="K3" s="8">
        <v>38.0</v>
      </c>
      <c r="L3" s="8">
        <v>510.0</v>
      </c>
      <c r="M3" s="8">
        <f t="shared" si="3"/>
        <v>765.0</v>
      </c>
      <c r="N3" s="8">
        <v>667.0</v>
      </c>
      <c r="O3" s="8">
        <f t="shared" si="4"/>
        <v>348.5</v>
      </c>
      <c r="P3" s="8">
        <f t="shared" si="5"/>
        <v>81.7</v>
      </c>
      <c r="Q3" s="9" t="s">
        <f>IF(Table2[[#This Row],[lead_time_days]]&lt;10,"On time","Late")</f>
        <v>25</v>
      </c>
      <c r="R3" t="s">
        <f>IF(Table2[[#This Row],[stock_on_hand]]&gt;700,"Overstock","FIne")</f>
        <v>26</v>
      </c>
    </row>
    <row r="4" ht="14.0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23</v>
      </c>
      <c r="G4" s="5" t="s">
        <v>24</v>
      </c>
      <c r="H4" s="6">
        <f t="shared" si="0"/>
        <v>45168.0</v>
      </c>
      <c r="I4" s="6">
        <f t="shared" si="1"/>
        <v>45171.0</v>
      </c>
      <c r="J4" s="7">
        <f t="shared" si="2"/>
        <v>3.0</v>
      </c>
      <c r="K4" s="8">
        <v>50.0</v>
      </c>
      <c r="L4" s="8">
        <v>850.0</v>
      </c>
      <c r="M4" s="8">
        <f t="shared" si="3"/>
        <v>1275.0</v>
      </c>
      <c r="N4" s="8">
        <v>915.0</v>
      </c>
      <c r="O4" s="8">
        <f t="shared" si="4"/>
        <v>472.5</v>
      </c>
      <c r="P4" s="8">
        <f t="shared" si="5"/>
        <v>106.5</v>
      </c>
      <c r="Q4" s="9" t="s">
        <f>IF(Table2[[#This Row],[lead_time_days]]&lt;10,"On time","Late")</f>
        <v>25</v>
      </c>
      <c r="R4" t="s">
        <f>IF(Table2[[#This Row],[stock_on_hand]]&gt;700,"Overstock","FIne")</f>
        <v>39</v>
      </c>
    </row>
    <row r="5" ht="14.0">
      <c r="A5" s="5" t="s">
        <v>40</v>
      </c>
      <c r="B5" s="5" t="s">
        <v>41</v>
      </c>
      <c r="C5" s="5" t="s">
        <v>42</v>
      </c>
      <c r="D5" s="5" t="s">
        <v>21</v>
      </c>
      <c r="E5" s="5" t="s">
        <v>22</v>
      </c>
      <c r="F5" s="5" t="s">
        <v>32</v>
      </c>
      <c r="G5" s="5" t="s">
        <v>33</v>
      </c>
      <c r="H5" s="6">
        <f t="shared" si="0"/>
        <v>45140.0</v>
      </c>
      <c r="I5" s="6">
        <f t="shared" si="1"/>
        <v>45153.0</v>
      </c>
      <c r="J5" s="7">
        <f t="shared" si="2"/>
        <v>13.0</v>
      </c>
      <c r="K5" s="8">
        <v>87.0</v>
      </c>
      <c r="L5" s="8">
        <v>893.0</v>
      </c>
      <c r="M5" s="8">
        <f t="shared" si="3"/>
        <v>1339.5</v>
      </c>
      <c r="N5" s="8">
        <v>633.0</v>
      </c>
      <c r="O5" s="8">
        <f t="shared" si="4"/>
        <v>331.5</v>
      </c>
      <c r="P5" s="8">
        <f t="shared" si="5"/>
        <v>78.3</v>
      </c>
      <c r="Q5" s="9" t="s">
        <f>IF(Table2[[#This Row],[lead_time_days]]&lt;10,"On time","Late")</f>
        <v>43</v>
      </c>
      <c r="R5" t="s">
        <f>IF(Table2[[#This Row],[stock_on_hand]]&gt;700,"Overstock","FIne")</f>
        <v>26</v>
      </c>
    </row>
    <row r="6" ht="14.0">
      <c r="A6" s="5" t="s">
        <v>44</v>
      </c>
      <c r="B6" s="5" t="s">
        <v>45</v>
      </c>
      <c r="C6" s="5" t="s">
        <v>46</v>
      </c>
      <c r="D6" s="5" t="s">
        <v>47</v>
      </c>
      <c r="E6" s="5" t="s">
        <v>38</v>
      </c>
      <c r="F6" s="5" t="s">
        <v>48</v>
      </c>
      <c r="G6" s="5" t="s">
        <v>49</v>
      </c>
      <c r="H6" s="6">
        <f t="shared" si="0"/>
        <v>45267.0</v>
      </c>
      <c r="I6" s="6">
        <f t="shared" si="1"/>
        <v>45274.0</v>
      </c>
      <c r="J6" s="7">
        <f t="shared" si="2"/>
        <v>7.0</v>
      </c>
      <c r="K6" s="8">
        <v>1.0</v>
      </c>
      <c r="L6" s="8">
        <v>591.0</v>
      </c>
      <c r="M6" s="8">
        <f t="shared" si="3"/>
        <v>886.5</v>
      </c>
      <c r="N6" s="8">
        <v>801.0</v>
      </c>
      <c r="O6" s="8">
        <f t="shared" si="4"/>
        <v>415.5</v>
      </c>
      <c r="P6" s="8">
        <f t="shared" si="5"/>
        <v>95.1</v>
      </c>
      <c r="Q6" s="9" t="s">
        <f>IF(Table2[[#This Row],[lead_time_days]]&lt;10,"On time","Late")</f>
        <v>25</v>
      </c>
      <c r="R6" t="s">
        <f>IF(Table2[[#This Row],[stock_on_hand]]&gt;700,"Overstock","FIne")</f>
        <v>39</v>
      </c>
    </row>
    <row r="7" ht="14.0">
      <c r="A7" s="5" t="s">
        <v>50</v>
      </c>
      <c r="B7" s="5" t="s">
        <v>51</v>
      </c>
      <c r="C7" s="5" t="s">
        <v>52</v>
      </c>
      <c r="D7" s="5" t="s">
        <v>53</v>
      </c>
      <c r="E7" s="5" t="s">
        <v>31</v>
      </c>
      <c r="F7" s="5" t="s">
        <v>48</v>
      </c>
      <c r="G7" s="5" t="s">
        <v>49</v>
      </c>
      <c r="H7" s="6">
        <f t="shared" si="0"/>
        <v>45011.0</v>
      </c>
      <c r="I7" s="6">
        <f t="shared" si="1"/>
        <v>45035.0</v>
      </c>
      <c r="J7" s="7">
        <f t="shared" si="2"/>
        <v>24.0</v>
      </c>
      <c r="K7" s="8">
        <v>89.0</v>
      </c>
      <c r="L7" s="8">
        <v>940.0</v>
      </c>
      <c r="M7" s="8">
        <f t="shared" si="3"/>
        <v>1410.0</v>
      </c>
      <c r="N7" s="8">
        <v>589.0</v>
      </c>
      <c r="O7" s="8">
        <f t="shared" si="4"/>
        <v>309.5</v>
      </c>
      <c r="P7" s="8">
        <f t="shared" si="5"/>
        <v>73.9</v>
      </c>
      <c r="Q7" s="9" t="s">
        <f>IF(Table2[[#This Row],[lead_time_days]]&lt;10,"On time","Late")</f>
        <v>43</v>
      </c>
      <c r="R7" t="s">
        <f>IF(Table2[[#This Row],[stock_on_hand]]&gt;700,"Overstock","FIne")</f>
        <v>26</v>
      </c>
    </row>
    <row r="8" ht="14.0">
      <c r="A8" s="5" t="s">
        <v>54</v>
      </c>
      <c r="B8" s="5" t="s">
        <v>55</v>
      </c>
      <c r="C8" s="5" t="s">
        <v>56</v>
      </c>
      <c r="D8" s="5" t="s">
        <v>57</v>
      </c>
      <c r="E8" s="5" t="s">
        <v>38</v>
      </c>
      <c r="F8" s="5" t="s">
        <v>32</v>
      </c>
      <c r="G8" s="5" t="s">
        <v>33</v>
      </c>
      <c r="H8" s="6">
        <f t="shared" si="0"/>
        <v>45028.0</v>
      </c>
      <c r="I8" s="6">
        <f t="shared" si="1"/>
        <v>45040.0</v>
      </c>
      <c r="J8" s="7">
        <f t="shared" si="2"/>
        <v>12.0</v>
      </c>
      <c r="K8" s="8">
        <v>87.0</v>
      </c>
      <c r="L8" s="8">
        <v>892.0</v>
      </c>
      <c r="M8" s="8">
        <f t="shared" si="3"/>
        <v>1338.0</v>
      </c>
      <c r="N8" s="8">
        <v>665.0</v>
      </c>
      <c r="O8" s="8">
        <f t="shared" si="4"/>
        <v>347.5</v>
      </c>
      <c r="P8" s="8">
        <f t="shared" si="5"/>
        <v>81.5</v>
      </c>
      <c r="Q8" s="9" t="s">
        <f>IF(Table2[[#This Row],[lead_time_days]]&lt;10,"On time","Late")</f>
        <v>43</v>
      </c>
      <c r="R8" t="s">
        <f>IF(Table2[[#This Row],[stock_on_hand]]&gt;700,"Overstock","FIne")</f>
        <v>26</v>
      </c>
    </row>
    <row r="9" ht="14.0">
      <c r="A9" s="5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6">
        <f t="shared" si="0"/>
        <v>45274.0</v>
      </c>
      <c r="I9" s="6">
        <f t="shared" si="1"/>
        <v>45278.0</v>
      </c>
      <c r="J9" s="7">
        <f t="shared" si="2"/>
        <v>4.0</v>
      </c>
      <c r="K9" s="8">
        <v>70.0</v>
      </c>
      <c r="L9" s="8">
        <v>581.0</v>
      </c>
      <c r="M9" s="8">
        <f t="shared" si="3"/>
        <v>871.5</v>
      </c>
      <c r="N9" s="8">
        <v>506.0</v>
      </c>
      <c r="O9" s="8">
        <f t="shared" si="4"/>
        <v>268.0</v>
      </c>
      <c r="P9" s="8">
        <f t="shared" si="5"/>
        <v>65.6</v>
      </c>
      <c r="Q9" s="9" t="s">
        <f>IF(Table2[[#This Row],[lead_time_days]]&lt;10,"On time","Late")</f>
        <v>25</v>
      </c>
      <c r="R9" t="s">
        <f>IF(Table2[[#This Row],[stock_on_hand]]&gt;700,"Overstock","FIne")</f>
        <v>26</v>
      </c>
    </row>
    <row r="10" ht="14.0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38</v>
      </c>
      <c r="F10" s="5" t="s">
        <v>63</v>
      </c>
      <c r="G10" s="5" t="s">
        <v>64</v>
      </c>
      <c r="H10" s="6">
        <f t="shared" si="0"/>
        <v>45266.0</v>
      </c>
      <c r="I10" s="6">
        <f t="shared" si="1"/>
        <v>45291.0</v>
      </c>
      <c r="J10" s="7">
        <f t="shared" si="2"/>
        <v>25.0</v>
      </c>
      <c r="K10" s="8">
        <v>49.0</v>
      </c>
      <c r="L10" s="8">
        <v>573.0</v>
      </c>
      <c r="M10" s="8">
        <f t="shared" si="3"/>
        <v>859.5</v>
      </c>
      <c r="N10" s="8">
        <v>900.0</v>
      </c>
      <c r="O10" s="8">
        <f t="shared" si="4"/>
        <v>465.0</v>
      </c>
      <c r="P10" s="8">
        <f t="shared" si="5"/>
        <v>105.0</v>
      </c>
      <c r="Q10" s="9" t="s">
        <f>IF(Table2[[#This Row],[lead_time_days]]&lt;10,"On time","Late")</f>
        <v>43</v>
      </c>
      <c r="R10" t="s">
        <f>IF(Table2[[#This Row],[stock_on_hand]]&gt;700,"Overstock","FIne")</f>
        <v>39</v>
      </c>
    </row>
    <row r="11" ht="14.0">
      <c r="A11" s="5" t="s">
        <v>69</v>
      </c>
      <c r="B11" s="5" t="s">
        <v>70</v>
      </c>
      <c r="C11" s="5" t="s">
        <v>71</v>
      </c>
      <c r="D11" s="5" t="s">
        <v>21</v>
      </c>
      <c r="E11" s="5" t="s">
        <v>22</v>
      </c>
      <c r="F11" s="5" t="s">
        <v>32</v>
      </c>
      <c r="G11" s="5" t="s">
        <v>33</v>
      </c>
      <c r="H11" s="6">
        <f t="shared" si="0"/>
        <v>45023.0</v>
      </c>
      <c r="I11" s="6">
        <f t="shared" si="1"/>
        <v>45026.0</v>
      </c>
      <c r="J11" s="7">
        <f t="shared" si="2"/>
        <v>3.0</v>
      </c>
      <c r="K11" s="8">
        <v>4.0</v>
      </c>
      <c r="L11" s="8">
        <v>574.0</v>
      </c>
      <c r="M11" s="8">
        <f t="shared" si="3"/>
        <v>861.0</v>
      </c>
      <c r="N11" s="8">
        <v>776.0</v>
      </c>
      <c r="O11" s="8">
        <f t="shared" si="4"/>
        <v>403.0</v>
      </c>
      <c r="P11" s="8">
        <f t="shared" si="5"/>
        <v>92.6</v>
      </c>
      <c r="Q11" s="9" t="s">
        <f>IF(Table2[[#This Row],[lead_time_days]]&lt;10,"On time","Late")</f>
        <v>25</v>
      </c>
      <c r="R11" t="s">
        <f>IF(Table2[[#This Row],[stock_on_hand]]&gt;700,"Overstock","FIne")</f>
        <v>39</v>
      </c>
    </row>
    <row r="12" ht="14.0">
      <c r="A12" s="5" t="s">
        <v>72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6">
        <f t="shared" si="0"/>
        <v>45170.0</v>
      </c>
      <c r="I12" s="6">
        <f t="shared" si="1"/>
        <v>45184.0</v>
      </c>
      <c r="J12" s="7">
        <f t="shared" si="2"/>
        <v>14.0</v>
      </c>
      <c r="K12" s="8">
        <v>3.0</v>
      </c>
      <c r="L12" s="8">
        <v>992.0</v>
      </c>
      <c r="M12" s="8">
        <f t="shared" si="3"/>
        <v>1488.0</v>
      </c>
      <c r="N12" s="8">
        <v>795.0</v>
      </c>
      <c r="O12" s="8">
        <f t="shared" si="4"/>
        <v>412.5</v>
      </c>
      <c r="P12" s="8">
        <f t="shared" si="5"/>
        <v>94.5</v>
      </c>
      <c r="Q12" s="9" t="s">
        <f>IF(Table2[[#This Row],[lead_time_days]]&lt;10,"On time","Late")</f>
        <v>43</v>
      </c>
      <c r="R12" t="s">
        <f>IF(Table2[[#This Row],[stock_on_hand]]&gt;700,"Overstock","FIne")</f>
        <v>39</v>
      </c>
    </row>
    <row r="13" ht="14.0">
      <c r="A13" s="5" t="s">
        <v>73</v>
      </c>
      <c r="B13" s="5" t="s">
        <v>28</v>
      </c>
      <c r="C13" s="5" t="s">
        <v>29</v>
      </c>
      <c r="D13" s="5" t="s">
        <v>30</v>
      </c>
      <c r="E13" s="5" t="s">
        <v>31</v>
      </c>
      <c r="F13" s="5" t="s">
        <v>32</v>
      </c>
      <c r="G13" s="5" t="s">
        <v>33</v>
      </c>
      <c r="H13" s="6">
        <f t="shared" si="0"/>
        <v>45097.0</v>
      </c>
      <c r="I13" s="6">
        <f t="shared" si="1"/>
        <v>45112.0</v>
      </c>
      <c r="J13" s="7">
        <f t="shared" si="2"/>
        <v>15.0</v>
      </c>
      <c r="K13" s="8">
        <v>40.0</v>
      </c>
      <c r="L13" s="8">
        <v>708.0</v>
      </c>
      <c r="M13" s="8">
        <f t="shared" si="3"/>
        <v>1062.0</v>
      </c>
      <c r="N13" s="8">
        <v>720.0</v>
      </c>
      <c r="O13" s="8">
        <f t="shared" si="4"/>
        <v>375.0</v>
      </c>
      <c r="P13" s="8">
        <f t="shared" si="5"/>
        <v>87.0</v>
      </c>
      <c r="Q13" s="9" t="s">
        <f>IF(Table2[[#This Row],[lead_time_days]]&lt;10,"On time","Late")</f>
        <v>43</v>
      </c>
      <c r="R13" t="s">
        <f>IF(Table2[[#This Row],[stock_on_hand]]&gt;700,"Overstock","FIne")</f>
        <v>39</v>
      </c>
    </row>
    <row r="14" ht="14.0">
      <c r="A14" s="5" t="s">
        <v>74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23</v>
      </c>
      <c r="G14" s="5" t="s">
        <v>24</v>
      </c>
      <c r="H14" s="6">
        <f t="shared" si="0"/>
        <v>44933.0</v>
      </c>
      <c r="I14" s="6">
        <f t="shared" si="1"/>
        <v>44936.0</v>
      </c>
      <c r="J14" s="7">
        <f t="shared" si="2"/>
        <v>3.0</v>
      </c>
      <c r="K14" s="8">
        <v>14.0</v>
      </c>
      <c r="L14" s="8">
        <v>651.0</v>
      </c>
      <c r="M14" s="8">
        <f t="shared" si="3"/>
        <v>976.5</v>
      </c>
      <c r="N14" s="8">
        <v>591.0</v>
      </c>
      <c r="O14" s="8">
        <f t="shared" si="4"/>
        <v>310.5</v>
      </c>
      <c r="P14" s="8">
        <f t="shared" si="5"/>
        <v>74.1</v>
      </c>
      <c r="Q14" s="9" t="s">
        <f>IF(Table2[[#This Row],[lead_time_days]]&lt;10,"On time","Late")</f>
        <v>25</v>
      </c>
      <c r="R14" t="s">
        <f>IF(Table2[[#This Row],[stock_on_hand]]&gt;700,"Overstock","FIne")</f>
        <v>26</v>
      </c>
    </row>
    <row r="15" ht="14.0">
      <c r="A15" s="5" t="s">
        <v>75</v>
      </c>
      <c r="B15" s="5" t="s">
        <v>41</v>
      </c>
      <c r="C15" s="5" t="s">
        <v>42</v>
      </c>
      <c r="D15" s="5" t="s">
        <v>21</v>
      </c>
      <c r="E15" s="5" t="s">
        <v>22</v>
      </c>
      <c r="F15" s="5" t="s">
        <v>32</v>
      </c>
      <c r="G15" s="5" t="s">
        <v>33</v>
      </c>
      <c r="H15" s="6">
        <f t="shared" si="0"/>
        <v>45153.0</v>
      </c>
      <c r="I15" s="6">
        <f t="shared" si="1"/>
        <v>45168.0</v>
      </c>
      <c r="J15" s="7">
        <f t="shared" si="2"/>
        <v>15.0</v>
      </c>
      <c r="K15" s="8">
        <v>40.0</v>
      </c>
      <c r="L15" s="8">
        <v>588.0</v>
      </c>
      <c r="M15" s="8">
        <f t="shared" si="3"/>
        <v>882.0</v>
      </c>
      <c r="N15" s="8">
        <v>578.0</v>
      </c>
      <c r="O15" s="8">
        <f t="shared" si="4"/>
        <v>304.0</v>
      </c>
      <c r="P15" s="8">
        <f t="shared" si="5"/>
        <v>72.8</v>
      </c>
      <c r="Q15" s="9" t="s">
        <f>IF(Table2[[#This Row],[lead_time_days]]&lt;10,"On time","Late")</f>
        <v>43</v>
      </c>
      <c r="R15" t="s">
        <f>IF(Table2[[#This Row],[stock_on_hand]]&gt;700,"Overstock","FIne")</f>
        <v>26</v>
      </c>
    </row>
    <row r="16" ht="14.0">
      <c r="A16" s="5" t="s">
        <v>76</v>
      </c>
      <c r="B16" s="5" t="s">
        <v>45</v>
      </c>
      <c r="C16" s="5" t="s">
        <v>46</v>
      </c>
      <c r="D16" s="5" t="s">
        <v>47</v>
      </c>
      <c r="E16" s="5" t="s">
        <v>38</v>
      </c>
      <c r="F16" s="5" t="s">
        <v>48</v>
      </c>
      <c r="G16" s="5" t="s">
        <v>49</v>
      </c>
      <c r="H16" s="6">
        <f t="shared" si="0"/>
        <v>45052.0</v>
      </c>
      <c r="I16" s="6">
        <f t="shared" si="1"/>
        <v>45073.0</v>
      </c>
      <c r="J16" s="7">
        <f t="shared" si="2"/>
        <v>21.0</v>
      </c>
      <c r="K16" s="8">
        <v>59.0</v>
      </c>
      <c r="L16" s="8">
        <v>552.0</v>
      </c>
      <c r="M16" s="8">
        <f t="shared" si="3"/>
        <v>828.0</v>
      </c>
      <c r="N16" s="8">
        <v>948.0</v>
      </c>
      <c r="O16" s="8">
        <f t="shared" si="4"/>
        <v>489.0</v>
      </c>
      <c r="P16" s="8">
        <f t="shared" si="5"/>
        <v>109.8</v>
      </c>
      <c r="Q16" s="9" t="s">
        <f>IF(Table2[[#This Row],[lead_time_days]]&lt;10,"On time","Late")</f>
        <v>43</v>
      </c>
      <c r="R16" t="s">
        <f>IF(Table2[[#This Row],[stock_on_hand]]&gt;700,"Overstock","FIne")</f>
        <v>39</v>
      </c>
    </row>
    <row r="17" ht="14.0">
      <c r="A17" s="5" t="s">
        <v>77</v>
      </c>
      <c r="B17" s="5" t="s">
        <v>51</v>
      </c>
      <c r="C17" s="5" t="s">
        <v>52</v>
      </c>
      <c r="D17" s="5" t="s">
        <v>53</v>
      </c>
      <c r="E17" s="5" t="s">
        <v>31</v>
      </c>
      <c r="F17" s="5" t="s">
        <v>48</v>
      </c>
      <c r="G17" s="5" t="s">
        <v>49</v>
      </c>
      <c r="H17" s="6">
        <f t="shared" si="0"/>
        <v>45123.0</v>
      </c>
      <c r="I17" s="6">
        <f t="shared" si="1"/>
        <v>45143.0</v>
      </c>
      <c r="J17" s="7">
        <f t="shared" si="2"/>
        <v>20.0</v>
      </c>
      <c r="K17" s="8">
        <v>17.0</v>
      </c>
      <c r="L17" s="8">
        <v>931.0</v>
      </c>
      <c r="M17" s="8">
        <f t="shared" si="3"/>
        <v>1396.5</v>
      </c>
      <c r="N17" s="8">
        <v>941.0</v>
      </c>
      <c r="O17" s="8">
        <f t="shared" si="4"/>
        <v>485.5</v>
      </c>
      <c r="P17" s="8">
        <f t="shared" si="5"/>
        <v>109.1</v>
      </c>
      <c r="Q17" s="9" t="s">
        <f>IF(Table2[[#This Row],[lead_time_days]]&lt;10,"On time","Late")</f>
        <v>43</v>
      </c>
      <c r="R17" t="s">
        <f>IF(Table2[[#This Row],[stock_on_hand]]&gt;700,"Overstock","FIne")</f>
        <v>39</v>
      </c>
    </row>
    <row r="18" ht="14.0">
      <c r="A18" s="5" t="s">
        <v>78</v>
      </c>
      <c r="B18" s="5" t="s">
        <v>55</v>
      </c>
      <c r="C18" s="5" t="s">
        <v>56</v>
      </c>
      <c r="D18" s="5" t="s">
        <v>57</v>
      </c>
      <c r="E18" s="5" t="s">
        <v>38</v>
      </c>
      <c r="F18" s="5" t="s">
        <v>32</v>
      </c>
      <c r="G18" s="5" t="s">
        <v>33</v>
      </c>
      <c r="H18" s="6">
        <f t="shared" si="0"/>
        <v>45211.0</v>
      </c>
      <c r="I18" s="6">
        <f t="shared" si="1"/>
        <v>45230.0</v>
      </c>
      <c r="J18" s="7">
        <f t="shared" si="2"/>
        <v>19.0</v>
      </c>
      <c r="K18" s="8">
        <v>91.0</v>
      </c>
      <c r="L18" s="8">
        <v>611.0</v>
      </c>
      <c r="M18" s="8">
        <f t="shared" si="3"/>
        <v>916.5</v>
      </c>
      <c r="N18" s="8">
        <v>997.0</v>
      </c>
      <c r="O18" s="8">
        <f t="shared" si="4"/>
        <v>513.5</v>
      </c>
      <c r="P18" s="8">
        <f t="shared" si="5"/>
        <v>114.7</v>
      </c>
      <c r="Q18" s="9" t="s">
        <f>IF(Table2[[#This Row],[lead_time_days]]&lt;10,"On time","Late")</f>
        <v>43</v>
      </c>
      <c r="R18" t="s">
        <f>IF(Table2[[#This Row],[stock_on_hand]]&gt;700,"Overstock","FIne")</f>
        <v>39</v>
      </c>
    </row>
    <row r="19" ht="14.0">
      <c r="A19" s="5" t="s">
        <v>79</v>
      </c>
      <c r="B19" s="5" t="s">
        <v>59</v>
      </c>
      <c r="C19" s="5" t="s">
        <v>60</v>
      </c>
      <c r="D19" s="5" t="s">
        <v>61</v>
      </c>
      <c r="E19" s="5" t="s">
        <v>62</v>
      </c>
      <c r="F19" s="5" t="s">
        <v>63</v>
      </c>
      <c r="G19" s="5" t="s">
        <v>64</v>
      </c>
      <c r="H19" s="6">
        <f t="shared" si="0"/>
        <v>45149.0</v>
      </c>
      <c r="I19" s="6">
        <f t="shared" si="1"/>
        <v>45164.0</v>
      </c>
      <c r="J19" s="7">
        <f t="shared" si="2"/>
        <v>15.0</v>
      </c>
      <c r="K19" s="8">
        <v>19.0</v>
      </c>
      <c r="L19" s="8">
        <v>836.0</v>
      </c>
      <c r="M19" s="8">
        <f t="shared" si="3"/>
        <v>1254.0</v>
      </c>
      <c r="N19" s="8">
        <v>964.0</v>
      </c>
      <c r="O19" s="8">
        <f t="shared" si="4"/>
        <v>497.0</v>
      </c>
      <c r="P19" s="8">
        <f t="shared" si="5"/>
        <v>111.4</v>
      </c>
      <c r="Q19" s="9" t="s">
        <f>IF(Table2[[#This Row],[lead_time_days]]&lt;10,"On time","Late")</f>
        <v>43</v>
      </c>
      <c r="R19" t="s">
        <f>IF(Table2[[#This Row],[stock_on_hand]]&gt;700,"Overstock","FIne")</f>
        <v>39</v>
      </c>
    </row>
    <row r="20" ht="14.0">
      <c r="A20" s="5" t="s">
        <v>80</v>
      </c>
      <c r="B20" s="5" t="s">
        <v>66</v>
      </c>
      <c r="C20" s="5" t="s">
        <v>67</v>
      </c>
      <c r="D20" s="5" t="s">
        <v>68</v>
      </c>
      <c r="E20" s="5" t="s">
        <v>38</v>
      </c>
      <c r="F20" s="5" t="s">
        <v>63</v>
      </c>
      <c r="G20" s="5" t="s">
        <v>64</v>
      </c>
      <c r="H20" s="6">
        <f t="shared" si="0"/>
        <v>45028.0</v>
      </c>
      <c r="I20" s="6">
        <f t="shared" si="1"/>
        <v>45030.0</v>
      </c>
      <c r="J20" s="7">
        <f t="shared" si="2"/>
        <v>2.0</v>
      </c>
      <c r="K20" s="8">
        <v>94.0</v>
      </c>
      <c r="L20" s="8">
        <v>818.0</v>
      </c>
      <c r="M20" s="8">
        <f t="shared" si="3"/>
        <v>1227.0</v>
      </c>
      <c r="N20" s="8">
        <v>728.0</v>
      </c>
      <c r="O20" s="8">
        <f t="shared" si="4"/>
        <v>379.0</v>
      </c>
      <c r="P20" s="8">
        <f t="shared" si="5"/>
        <v>87.8</v>
      </c>
      <c r="Q20" s="9" t="s">
        <f>IF(Table2[[#This Row],[lead_time_days]]&lt;10,"On time","Late")</f>
        <v>25</v>
      </c>
      <c r="R20" t="s">
        <f>IF(Table2[[#This Row],[stock_on_hand]]&gt;700,"Overstock","FIne")</f>
        <v>39</v>
      </c>
    </row>
    <row r="21" ht="14.0">
      <c r="A21" s="5" t="s">
        <v>81</v>
      </c>
      <c r="B21" s="5" t="s">
        <v>70</v>
      </c>
      <c r="C21" s="5" t="s">
        <v>71</v>
      </c>
      <c r="D21" s="5" t="s">
        <v>21</v>
      </c>
      <c r="E21" s="5" t="s">
        <v>22</v>
      </c>
      <c r="F21" s="5" t="s">
        <v>32</v>
      </c>
      <c r="G21" s="5" t="s">
        <v>33</v>
      </c>
      <c r="H21" s="6">
        <f t="shared" si="0"/>
        <v>45160.0</v>
      </c>
      <c r="I21" s="6">
        <f t="shared" si="1"/>
        <v>45184.0</v>
      </c>
      <c r="J21" s="7">
        <f t="shared" si="2"/>
        <v>24.0</v>
      </c>
      <c r="K21" s="8">
        <v>89.0</v>
      </c>
      <c r="L21" s="8">
        <v>982.0</v>
      </c>
      <c r="M21" s="8">
        <f t="shared" si="3"/>
        <v>1473.0</v>
      </c>
      <c r="N21" s="8">
        <v>827.0</v>
      </c>
      <c r="O21" s="8">
        <f t="shared" si="4"/>
        <v>428.5</v>
      </c>
      <c r="P21" s="8">
        <f t="shared" si="5"/>
        <v>97.7</v>
      </c>
      <c r="Q21" s="9" t="s">
        <f>IF(Table2[[#This Row],[lead_time_days]]&lt;10,"On time","Late")</f>
        <v>43</v>
      </c>
      <c r="R21" t="s">
        <f>IF(Table2[[#This Row],[stock_on_hand]]&gt;700,"Overstock","FIne")</f>
        <v>39</v>
      </c>
    </row>
    <row r="22" ht="14.0">
      <c r="A22" s="5" t="s">
        <v>82</v>
      </c>
      <c r="B22" s="5" t="s">
        <v>19</v>
      </c>
      <c r="C22" s="5" t="s">
        <v>20</v>
      </c>
      <c r="D22" s="5" t="s">
        <v>21</v>
      </c>
      <c r="E22" s="5" t="s">
        <v>22</v>
      </c>
      <c r="F22" s="5" t="s">
        <v>23</v>
      </c>
      <c r="G22" s="5" t="s">
        <v>24</v>
      </c>
      <c r="H22" s="6">
        <f t="shared" si="0"/>
        <v>45031.0</v>
      </c>
      <c r="I22" s="6">
        <f t="shared" si="1"/>
        <v>45032.0</v>
      </c>
      <c r="J22" s="7">
        <f t="shared" si="2"/>
        <v>1.0</v>
      </c>
      <c r="K22" s="8">
        <v>23.0</v>
      </c>
      <c r="L22" s="8">
        <v>725.0</v>
      </c>
      <c r="M22" s="8">
        <f t="shared" si="3"/>
        <v>1087.5</v>
      </c>
      <c r="N22" s="8">
        <v>611.0</v>
      </c>
      <c r="O22" s="8">
        <f t="shared" si="4"/>
        <v>320.5</v>
      </c>
      <c r="P22" s="8">
        <f t="shared" si="5"/>
        <v>76.1</v>
      </c>
      <c r="Q22" s="9" t="s">
        <f>IF(Table2[[#This Row],[lead_time_days]]&lt;10,"On time","Late")</f>
        <v>25</v>
      </c>
      <c r="R22" t="s">
        <f>IF(Table2[[#This Row],[stock_on_hand]]&gt;700,"Overstock","FIne")</f>
        <v>26</v>
      </c>
    </row>
    <row r="23" ht="14.0">
      <c r="A23" s="5" t="s">
        <v>83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  <c r="H23" s="6">
        <f t="shared" si="0"/>
        <v>45278.0</v>
      </c>
      <c r="I23" s="6">
        <f t="shared" si="1"/>
        <v>45294.0</v>
      </c>
      <c r="J23" s="7">
        <f t="shared" si="2"/>
        <v>16.0</v>
      </c>
      <c r="K23" s="8">
        <v>75.0</v>
      </c>
      <c r="L23" s="8">
        <v>884.0</v>
      </c>
      <c r="M23" s="8">
        <f t="shared" si="3"/>
        <v>1326.0</v>
      </c>
      <c r="N23" s="8">
        <v>652.0</v>
      </c>
      <c r="O23" s="8">
        <f t="shared" si="4"/>
        <v>341.0</v>
      </c>
      <c r="P23" s="8">
        <f t="shared" si="5"/>
        <v>80.2</v>
      </c>
      <c r="Q23" s="9" t="s">
        <f>IF(Table2[[#This Row],[lead_time_days]]&lt;10,"On time","Late")</f>
        <v>43</v>
      </c>
      <c r="R23" t="s">
        <f>IF(Table2[[#This Row],[stock_on_hand]]&gt;700,"Overstock","FIne")</f>
        <v>26</v>
      </c>
    </row>
    <row r="24" ht="14.0">
      <c r="A24" s="5" t="s">
        <v>84</v>
      </c>
      <c r="B24" s="5" t="s">
        <v>35</v>
      </c>
      <c r="C24" s="5" t="s">
        <v>36</v>
      </c>
      <c r="D24" s="5" t="s">
        <v>37</v>
      </c>
      <c r="E24" s="5" t="s">
        <v>38</v>
      </c>
      <c r="F24" s="5" t="s">
        <v>23</v>
      </c>
      <c r="G24" s="5" t="s">
        <v>24</v>
      </c>
      <c r="H24" s="6">
        <f t="shared" si="0"/>
        <v>44953.0</v>
      </c>
      <c r="I24" s="6">
        <f t="shared" si="1"/>
        <v>44976.0</v>
      </c>
      <c r="J24" s="7">
        <f t="shared" si="2"/>
        <v>23.0</v>
      </c>
      <c r="K24" s="8">
        <v>33.0</v>
      </c>
      <c r="L24" s="8">
        <v>511.0</v>
      </c>
      <c r="M24" s="8">
        <f t="shared" si="3"/>
        <v>766.5</v>
      </c>
      <c r="N24" s="8">
        <v>859.0</v>
      </c>
      <c r="O24" s="8">
        <f t="shared" si="4"/>
        <v>444.5</v>
      </c>
      <c r="P24" s="8">
        <f t="shared" si="5"/>
        <v>100.9</v>
      </c>
      <c r="Q24" s="9" t="s">
        <f>IF(Table2[[#This Row],[lead_time_days]]&lt;10,"On time","Late")</f>
        <v>43</v>
      </c>
      <c r="R24" t="s">
        <f>IF(Table2[[#This Row],[stock_on_hand]]&gt;700,"Overstock","FIne")</f>
        <v>39</v>
      </c>
    </row>
    <row r="25" ht="14.0">
      <c r="A25" s="5" t="s">
        <v>85</v>
      </c>
      <c r="B25" s="5" t="s">
        <v>41</v>
      </c>
      <c r="C25" s="5" t="s">
        <v>42</v>
      </c>
      <c r="D25" s="5" t="s">
        <v>21</v>
      </c>
      <c r="E25" s="5" t="s">
        <v>22</v>
      </c>
      <c r="F25" s="5" t="s">
        <v>32</v>
      </c>
      <c r="G25" s="5" t="s">
        <v>33</v>
      </c>
      <c r="H25" s="6">
        <f t="shared" si="0"/>
        <v>45085.0</v>
      </c>
      <c r="I25" s="6">
        <f t="shared" si="1"/>
        <v>45108.0</v>
      </c>
      <c r="J25" s="7">
        <f t="shared" si="2"/>
        <v>23.0</v>
      </c>
      <c r="K25" s="8">
        <v>65.0</v>
      </c>
      <c r="L25" s="8">
        <v>554.0</v>
      </c>
      <c r="M25" s="8">
        <f t="shared" si="3"/>
        <v>831.0</v>
      </c>
      <c r="N25" s="8">
        <v>824.0</v>
      </c>
      <c r="O25" s="8">
        <f t="shared" si="4"/>
        <v>427.0</v>
      </c>
      <c r="P25" s="8">
        <f t="shared" si="5"/>
        <v>97.4</v>
      </c>
      <c r="Q25" s="9" t="s">
        <f>IF(Table2[[#This Row],[lead_time_days]]&lt;10,"On time","Late")</f>
        <v>43</v>
      </c>
      <c r="R25" t="s">
        <f>IF(Table2[[#This Row],[stock_on_hand]]&gt;700,"Overstock","FIne")</f>
        <v>39</v>
      </c>
    </row>
    <row r="26" ht="14.0">
      <c r="A26" s="5" t="s">
        <v>86</v>
      </c>
      <c r="B26" s="5" t="s">
        <v>45</v>
      </c>
      <c r="C26" s="5" t="s">
        <v>46</v>
      </c>
      <c r="D26" s="5" t="s">
        <v>47</v>
      </c>
      <c r="E26" s="5" t="s">
        <v>38</v>
      </c>
      <c r="F26" s="5" t="s">
        <v>48</v>
      </c>
      <c r="G26" s="5" t="s">
        <v>49</v>
      </c>
      <c r="H26" s="6">
        <f t="shared" si="0"/>
        <v>45118.0</v>
      </c>
      <c r="I26" s="6">
        <f t="shared" si="1"/>
        <v>45142.0</v>
      </c>
      <c r="J26" s="7">
        <f t="shared" si="2"/>
        <v>24.0</v>
      </c>
      <c r="K26" s="8">
        <v>34.0</v>
      </c>
      <c r="L26" s="8">
        <v>592.0</v>
      </c>
      <c r="M26" s="8">
        <f t="shared" si="3"/>
        <v>888.0</v>
      </c>
      <c r="N26" s="8">
        <v>951.0</v>
      </c>
      <c r="O26" s="8">
        <f t="shared" si="4"/>
        <v>490.5</v>
      </c>
      <c r="P26" s="8">
        <f t="shared" si="5"/>
        <v>110.1</v>
      </c>
      <c r="Q26" s="9" t="s">
        <f>IF(Table2[[#This Row],[lead_time_days]]&lt;10,"On time","Late")</f>
        <v>43</v>
      </c>
      <c r="R26" t="s">
        <f>IF(Table2[[#This Row],[stock_on_hand]]&gt;700,"Overstock","FIne")</f>
        <v>39</v>
      </c>
    </row>
    <row r="27" ht="14.0">
      <c r="A27" s="5" t="s">
        <v>87</v>
      </c>
      <c r="B27" s="5" t="s">
        <v>51</v>
      </c>
      <c r="C27" s="5" t="s">
        <v>52</v>
      </c>
      <c r="D27" s="5" t="s">
        <v>53</v>
      </c>
      <c r="E27" s="5" t="s">
        <v>31</v>
      </c>
      <c r="F27" s="5" t="s">
        <v>48</v>
      </c>
      <c r="G27" s="5" t="s">
        <v>49</v>
      </c>
      <c r="H27" s="6">
        <f t="shared" si="0"/>
        <v>44964.0</v>
      </c>
      <c r="I27" s="6">
        <f t="shared" si="1"/>
        <v>44979.0</v>
      </c>
      <c r="J27" s="7">
        <f t="shared" si="2"/>
        <v>15.0</v>
      </c>
      <c r="K27" s="8">
        <v>14.0</v>
      </c>
      <c r="L27" s="8">
        <v>558.0</v>
      </c>
      <c r="M27" s="8">
        <f t="shared" si="3"/>
        <v>837.0</v>
      </c>
      <c r="N27" s="8">
        <v>592.0</v>
      </c>
      <c r="O27" s="8">
        <f t="shared" si="4"/>
        <v>311.0</v>
      </c>
      <c r="P27" s="8">
        <f t="shared" si="5"/>
        <v>74.2</v>
      </c>
      <c r="Q27" s="9" t="s">
        <f>IF(Table2[[#This Row],[lead_time_days]]&lt;10,"On time","Late")</f>
        <v>43</v>
      </c>
      <c r="R27" t="s">
        <f>IF(Table2[[#This Row],[stock_on_hand]]&gt;700,"Overstock","FIne")</f>
        <v>26</v>
      </c>
    </row>
    <row r="28" ht="14.0">
      <c r="A28" s="5" t="s">
        <v>88</v>
      </c>
      <c r="B28" s="5" t="s">
        <v>55</v>
      </c>
      <c r="C28" s="5" t="s">
        <v>56</v>
      </c>
      <c r="D28" s="5" t="s">
        <v>57</v>
      </c>
      <c r="E28" s="5" t="s">
        <v>38</v>
      </c>
      <c r="F28" s="5" t="s">
        <v>32</v>
      </c>
      <c r="G28" s="5" t="s">
        <v>33</v>
      </c>
      <c r="H28" s="6">
        <f t="shared" si="0"/>
        <v>45133.0</v>
      </c>
      <c r="I28" s="6">
        <f t="shared" si="1"/>
        <v>45136.0</v>
      </c>
      <c r="J28" s="7">
        <f t="shared" si="2"/>
        <v>3.0</v>
      </c>
      <c r="K28" s="8">
        <v>45.0</v>
      </c>
      <c r="L28" s="8">
        <v>930.0</v>
      </c>
      <c r="M28" s="8">
        <f t="shared" si="3"/>
        <v>1395.0</v>
      </c>
      <c r="N28" s="8">
        <v>569.0</v>
      </c>
      <c r="O28" s="8">
        <f t="shared" si="4"/>
        <v>299.5</v>
      </c>
      <c r="P28" s="8">
        <f t="shared" si="5"/>
        <v>71.9</v>
      </c>
      <c r="Q28" s="9" t="s">
        <f>IF(Table2[[#This Row],[lead_time_days]]&lt;10,"On time","Late")</f>
        <v>25</v>
      </c>
      <c r="R28" t="s">
        <f>IF(Table2[[#This Row],[stock_on_hand]]&gt;700,"Overstock","FIne")</f>
        <v>26</v>
      </c>
    </row>
    <row r="29" ht="14.0">
      <c r="A29" s="5" t="s">
        <v>89</v>
      </c>
      <c r="B29" s="5" t="s">
        <v>59</v>
      </c>
      <c r="C29" s="5" t="s">
        <v>60</v>
      </c>
      <c r="D29" s="5" t="s">
        <v>61</v>
      </c>
      <c r="E29" s="5" t="s">
        <v>62</v>
      </c>
      <c r="F29" s="5" t="s">
        <v>63</v>
      </c>
      <c r="G29" s="5" t="s">
        <v>64</v>
      </c>
      <c r="H29" s="6">
        <f t="shared" si="0"/>
        <v>44929.0</v>
      </c>
      <c r="I29" s="6">
        <f t="shared" si="1"/>
        <v>44949.0</v>
      </c>
      <c r="J29" s="7">
        <f t="shared" si="2"/>
        <v>20.0</v>
      </c>
      <c r="K29" s="8">
        <v>92.0</v>
      </c>
      <c r="L29" s="8">
        <v>685.0</v>
      </c>
      <c r="M29" s="8">
        <f t="shared" si="3"/>
        <v>1027.5</v>
      </c>
      <c r="N29" s="8">
        <v>777.0</v>
      </c>
      <c r="O29" s="8">
        <f t="shared" si="4"/>
        <v>403.5</v>
      </c>
      <c r="P29" s="8">
        <f t="shared" si="5"/>
        <v>92.7</v>
      </c>
      <c r="Q29" s="9" t="s">
        <f>IF(Table2[[#This Row],[lead_time_days]]&lt;10,"On time","Late")</f>
        <v>43</v>
      </c>
      <c r="R29" t="s">
        <f>IF(Table2[[#This Row],[stock_on_hand]]&gt;700,"Overstock","FIne")</f>
        <v>39</v>
      </c>
    </row>
    <row r="30" ht="14.0">
      <c r="A30" s="5" t="s">
        <v>90</v>
      </c>
      <c r="B30" s="5" t="s">
        <v>66</v>
      </c>
      <c r="C30" s="5" t="s">
        <v>67</v>
      </c>
      <c r="D30" s="5" t="s">
        <v>68</v>
      </c>
      <c r="E30" s="5" t="s">
        <v>38</v>
      </c>
      <c r="F30" s="5" t="s">
        <v>63</v>
      </c>
      <c r="G30" s="5" t="s">
        <v>64</v>
      </c>
      <c r="H30" s="6">
        <f t="shared" si="0"/>
        <v>44941.0</v>
      </c>
      <c r="I30" s="6">
        <f t="shared" si="1"/>
        <v>44960.0</v>
      </c>
      <c r="J30" s="7">
        <f t="shared" si="2"/>
        <v>19.0</v>
      </c>
      <c r="K30" s="8">
        <v>21.0</v>
      </c>
      <c r="L30" s="8">
        <v>949.0</v>
      </c>
      <c r="M30" s="8">
        <f t="shared" si="3"/>
        <v>1423.5</v>
      </c>
      <c r="N30" s="8">
        <v>832.0</v>
      </c>
      <c r="O30" s="8">
        <f t="shared" si="4"/>
        <v>431.0</v>
      </c>
      <c r="P30" s="8">
        <f t="shared" si="5"/>
        <v>98.2</v>
      </c>
      <c r="Q30" s="9" t="s">
        <f>IF(Table2[[#This Row],[lead_time_days]]&lt;10,"On time","Late")</f>
        <v>43</v>
      </c>
      <c r="R30" t="s">
        <f>IF(Table2[[#This Row],[stock_on_hand]]&gt;700,"Overstock","FIne")</f>
        <v>39</v>
      </c>
    </row>
    <row r="31" ht="14.0">
      <c r="A31" s="5" t="s">
        <v>91</v>
      </c>
      <c r="B31" s="5" t="s">
        <v>70</v>
      </c>
      <c r="C31" s="5" t="s">
        <v>71</v>
      </c>
      <c r="D31" s="5" t="s">
        <v>21</v>
      </c>
      <c r="E31" s="5" t="s">
        <v>22</v>
      </c>
      <c r="F31" s="5" t="s">
        <v>32</v>
      </c>
      <c r="G31" s="5" t="s">
        <v>33</v>
      </c>
      <c r="H31" s="6">
        <f t="shared" si="0"/>
        <v>45192.0</v>
      </c>
      <c r="I31" s="6">
        <f t="shared" si="1"/>
        <v>45201.0</v>
      </c>
      <c r="J31" s="7">
        <f t="shared" si="2"/>
        <v>9.0</v>
      </c>
      <c r="K31" s="8">
        <v>60.0</v>
      </c>
      <c r="L31" s="8">
        <v>735.0</v>
      </c>
      <c r="M31" s="8">
        <f t="shared" si="3"/>
        <v>1102.5</v>
      </c>
      <c r="N31" s="8">
        <v>837.0</v>
      </c>
      <c r="O31" s="8">
        <f t="shared" si="4"/>
        <v>433.5</v>
      </c>
      <c r="P31" s="8">
        <f t="shared" si="5"/>
        <v>98.7</v>
      </c>
      <c r="Q31" s="9" t="s">
        <f>IF(Table2[[#This Row],[lead_time_days]]&lt;10,"On time","Late")</f>
        <v>25</v>
      </c>
      <c r="R31" t="s">
        <f>IF(Table2[[#This Row],[stock_on_hand]]&gt;700,"Overstock","FIne")</f>
        <v>39</v>
      </c>
    </row>
    <row r="32" ht="14.0">
      <c r="A32" s="5" t="s">
        <v>92</v>
      </c>
      <c r="B32" s="5" t="s">
        <v>19</v>
      </c>
      <c r="C32" s="5" t="s">
        <v>20</v>
      </c>
      <c r="D32" s="5" t="s">
        <v>21</v>
      </c>
      <c r="E32" s="5" t="s">
        <v>22</v>
      </c>
      <c r="F32" s="5" t="s">
        <v>23</v>
      </c>
      <c r="G32" s="5" t="s">
        <v>24</v>
      </c>
      <c r="H32" s="6">
        <f t="shared" si="0"/>
        <v>45118.0</v>
      </c>
      <c r="I32" s="6">
        <f t="shared" si="1"/>
        <v>45119.0</v>
      </c>
      <c r="J32" s="7">
        <f t="shared" si="2"/>
        <v>1.0</v>
      </c>
      <c r="K32" s="8">
        <v>67.0</v>
      </c>
      <c r="L32" s="8">
        <v>797.0</v>
      </c>
      <c r="M32" s="8">
        <f t="shared" si="3"/>
        <v>1195.5</v>
      </c>
      <c r="N32" s="8">
        <v>770.0</v>
      </c>
      <c r="O32" s="8">
        <f t="shared" si="4"/>
        <v>400.0</v>
      </c>
      <c r="P32" s="8">
        <f t="shared" si="5"/>
        <v>92.0</v>
      </c>
      <c r="Q32" s="9" t="s">
        <f>IF(Table2[[#This Row],[lead_time_days]]&lt;10,"On time","Late")</f>
        <v>25</v>
      </c>
      <c r="R32" t="s">
        <f>IF(Table2[[#This Row],[stock_on_hand]]&gt;700,"Overstock","FIne")</f>
        <v>39</v>
      </c>
    </row>
    <row r="33" ht="14.0">
      <c r="A33" s="5" t="s">
        <v>93</v>
      </c>
      <c r="B33" s="5" t="s">
        <v>28</v>
      </c>
      <c r="C33" s="5" t="s">
        <v>29</v>
      </c>
      <c r="D33" s="5" t="s">
        <v>30</v>
      </c>
      <c r="E33" s="5" t="s">
        <v>31</v>
      </c>
      <c r="F33" s="5" t="s">
        <v>32</v>
      </c>
      <c r="G33" s="5" t="s">
        <v>33</v>
      </c>
      <c r="H33" s="6">
        <f t="shared" si="0"/>
        <v>45038.0</v>
      </c>
      <c r="I33" s="6">
        <f t="shared" si="1"/>
        <v>45056.0</v>
      </c>
      <c r="J33" s="7">
        <f t="shared" si="2"/>
        <v>18.0</v>
      </c>
      <c r="K33" s="8">
        <v>81.0</v>
      </c>
      <c r="L33" s="8">
        <v>862.0</v>
      </c>
      <c r="M33" s="8">
        <f t="shared" si="3"/>
        <v>1293.0</v>
      </c>
      <c r="N33" s="8">
        <v>794.0</v>
      </c>
      <c r="O33" s="8">
        <f t="shared" si="4"/>
        <v>412.0</v>
      </c>
      <c r="P33" s="8">
        <f t="shared" si="5"/>
        <v>94.4</v>
      </c>
      <c r="Q33" s="9" t="s">
        <f>IF(Table2[[#This Row],[lead_time_days]]&lt;10,"On time","Late")</f>
        <v>43</v>
      </c>
      <c r="R33" t="s">
        <f>IF(Table2[[#This Row],[stock_on_hand]]&gt;700,"Overstock","FIne")</f>
        <v>39</v>
      </c>
    </row>
    <row r="34" ht="14.0">
      <c r="A34" s="5" t="s">
        <v>94</v>
      </c>
      <c r="B34" s="5" t="s">
        <v>35</v>
      </c>
      <c r="C34" s="5" t="s">
        <v>36</v>
      </c>
      <c r="D34" s="5" t="s">
        <v>37</v>
      </c>
      <c r="E34" s="5" t="s">
        <v>38</v>
      </c>
      <c r="F34" s="5" t="s">
        <v>23</v>
      </c>
      <c r="G34" s="5" t="s">
        <v>24</v>
      </c>
      <c r="H34" s="6">
        <f t="shared" si="0"/>
        <v>44927.0</v>
      </c>
      <c r="I34" s="6">
        <f t="shared" si="1"/>
        <v>44944.0</v>
      </c>
      <c r="J34" s="7">
        <f t="shared" si="2"/>
        <v>17.0</v>
      </c>
      <c r="K34" s="8">
        <v>96.0</v>
      </c>
      <c r="L34" s="8">
        <v>834.0</v>
      </c>
      <c r="M34" s="8">
        <f t="shared" si="3"/>
        <v>1251.0</v>
      </c>
      <c r="N34" s="8">
        <v>953.0</v>
      </c>
      <c r="O34" s="8">
        <f t="shared" si="4"/>
        <v>491.5</v>
      </c>
      <c r="P34" s="8">
        <f t="shared" si="5"/>
        <v>110.3</v>
      </c>
      <c r="Q34" s="9" t="s">
        <f>IF(Table2[[#This Row],[lead_time_days]]&lt;10,"On time","Late")</f>
        <v>43</v>
      </c>
      <c r="R34" t="s">
        <f>IF(Table2[[#This Row],[stock_on_hand]]&gt;700,"Overstock","FIne")</f>
        <v>39</v>
      </c>
    </row>
    <row r="35" ht="14.0">
      <c r="A35" s="5" t="s">
        <v>95</v>
      </c>
      <c r="B35" s="5" t="s">
        <v>41</v>
      </c>
      <c r="C35" s="5" t="s">
        <v>42</v>
      </c>
      <c r="D35" s="5" t="s">
        <v>21</v>
      </c>
      <c r="E35" s="5" t="s">
        <v>22</v>
      </c>
      <c r="F35" s="5" t="s">
        <v>32</v>
      </c>
      <c r="G35" s="5" t="s">
        <v>33</v>
      </c>
      <c r="H35" s="6">
        <f t="shared" si="0"/>
        <v>44961.0</v>
      </c>
      <c r="I35" s="6">
        <f t="shared" si="1"/>
        <v>44978.0</v>
      </c>
      <c r="J35" s="7">
        <f t="shared" si="2"/>
        <v>17.0</v>
      </c>
      <c r="K35" s="8">
        <v>25.0</v>
      </c>
      <c r="L35" s="8">
        <v>724.0</v>
      </c>
      <c r="M35" s="8">
        <f t="shared" si="3"/>
        <v>1086.0</v>
      </c>
      <c r="N35" s="8">
        <v>668.0</v>
      </c>
      <c r="O35" s="8">
        <f t="shared" si="4"/>
        <v>349.0</v>
      </c>
      <c r="P35" s="8">
        <f t="shared" si="5"/>
        <v>81.8</v>
      </c>
      <c r="Q35" s="9" t="s">
        <f>IF(Table2[[#This Row],[lead_time_days]]&lt;10,"On time","Late")</f>
        <v>43</v>
      </c>
      <c r="R35" t="s">
        <f>IF(Table2[[#This Row],[stock_on_hand]]&gt;700,"Overstock","FIne")</f>
        <v>26</v>
      </c>
    </row>
    <row r="36" ht="14.0">
      <c r="A36" s="5" t="s">
        <v>96</v>
      </c>
      <c r="B36" s="5" t="s">
        <v>45</v>
      </c>
      <c r="C36" s="5" t="s">
        <v>46</v>
      </c>
      <c r="D36" s="5" t="s">
        <v>47</v>
      </c>
      <c r="E36" s="5" t="s">
        <v>38</v>
      </c>
      <c r="F36" s="5" t="s">
        <v>48</v>
      </c>
      <c r="G36" s="5" t="s">
        <v>49</v>
      </c>
      <c r="H36" s="6">
        <f t="shared" si="0"/>
        <v>45128.0</v>
      </c>
      <c r="I36" s="6">
        <f t="shared" si="1"/>
        <v>45146.0</v>
      </c>
      <c r="J36" s="7">
        <f t="shared" si="2"/>
        <v>18.0</v>
      </c>
      <c r="K36" s="8">
        <v>67.0</v>
      </c>
      <c r="L36" s="8">
        <v>833.0</v>
      </c>
      <c r="M36" s="8">
        <f t="shared" si="3"/>
        <v>1249.5</v>
      </c>
      <c r="N36" s="8">
        <v>529.0</v>
      </c>
      <c r="O36" s="8">
        <f t="shared" si="4"/>
        <v>279.5</v>
      </c>
      <c r="P36" s="8">
        <f t="shared" si="5"/>
        <v>67.9</v>
      </c>
      <c r="Q36" s="9" t="s">
        <f>IF(Table2[[#This Row],[lead_time_days]]&lt;10,"On time","Late")</f>
        <v>43</v>
      </c>
      <c r="R36" t="s">
        <f>IF(Table2[[#This Row],[stock_on_hand]]&gt;700,"Overstock","FIne")</f>
        <v>26</v>
      </c>
    </row>
    <row r="37" ht="14.0">
      <c r="A37" s="5" t="s">
        <v>97</v>
      </c>
      <c r="B37" s="5" t="s">
        <v>51</v>
      </c>
      <c r="C37" s="5" t="s">
        <v>52</v>
      </c>
      <c r="D37" s="5" t="s">
        <v>53</v>
      </c>
      <c r="E37" s="5" t="s">
        <v>31</v>
      </c>
      <c r="F37" s="5" t="s">
        <v>48</v>
      </c>
      <c r="G37" s="5" t="s">
        <v>49</v>
      </c>
      <c r="H37" s="6">
        <f t="shared" si="0"/>
        <v>45128.0</v>
      </c>
      <c r="I37" s="6">
        <f t="shared" si="1"/>
        <v>45137.0</v>
      </c>
      <c r="J37" s="7">
        <f t="shared" si="2"/>
        <v>9.0</v>
      </c>
      <c r="K37" s="8">
        <v>95.0</v>
      </c>
      <c r="L37" s="8">
        <v>830.0</v>
      </c>
      <c r="M37" s="8">
        <f t="shared" si="3"/>
        <v>1245.0</v>
      </c>
      <c r="N37" s="8">
        <v>850.0</v>
      </c>
      <c r="O37" s="8">
        <f t="shared" si="4"/>
        <v>440.0</v>
      </c>
      <c r="P37" s="8">
        <f t="shared" si="5"/>
        <v>100.0</v>
      </c>
      <c r="Q37" s="9" t="s">
        <f>IF(Table2[[#This Row],[lead_time_days]]&lt;10,"On time","Late")</f>
        <v>25</v>
      </c>
      <c r="R37" t="s">
        <f>IF(Table2[[#This Row],[stock_on_hand]]&gt;700,"Overstock","FIne")</f>
        <v>39</v>
      </c>
    </row>
    <row r="38" ht="14.0">
      <c r="A38" s="5" t="s">
        <v>98</v>
      </c>
      <c r="B38" s="5" t="s">
        <v>55</v>
      </c>
      <c r="C38" s="5" t="s">
        <v>56</v>
      </c>
      <c r="D38" s="5" t="s">
        <v>57</v>
      </c>
      <c r="E38" s="5" t="s">
        <v>38</v>
      </c>
      <c r="F38" s="5" t="s">
        <v>32</v>
      </c>
      <c r="G38" s="5" t="s">
        <v>33</v>
      </c>
      <c r="H38" s="6">
        <f t="shared" si="0"/>
        <v>45130.0</v>
      </c>
      <c r="I38" s="6">
        <f t="shared" si="1"/>
        <v>45135.0</v>
      </c>
      <c r="J38" s="7">
        <f t="shared" si="2"/>
        <v>5.0</v>
      </c>
      <c r="K38" s="8">
        <v>71.0</v>
      </c>
      <c r="L38" s="8">
        <v>597.0</v>
      </c>
      <c r="M38" s="8">
        <f t="shared" si="3"/>
        <v>895.5</v>
      </c>
      <c r="N38" s="8">
        <v>692.0</v>
      </c>
      <c r="O38" s="8">
        <f t="shared" si="4"/>
        <v>361.0</v>
      </c>
      <c r="P38" s="8">
        <f t="shared" si="5"/>
        <v>84.2</v>
      </c>
      <c r="Q38" s="9" t="s">
        <f>IF(Table2[[#This Row],[lead_time_days]]&lt;10,"On time","Late")</f>
        <v>25</v>
      </c>
      <c r="R38" t="s">
        <f>IF(Table2[[#This Row],[stock_on_hand]]&gt;700,"Overstock","FIne")</f>
        <v>26</v>
      </c>
    </row>
    <row r="39" ht="14.0">
      <c r="A39" s="5" t="s">
        <v>99</v>
      </c>
      <c r="B39" s="5" t="s">
        <v>59</v>
      </c>
      <c r="C39" s="5" t="s">
        <v>60</v>
      </c>
      <c r="D39" s="5" t="s">
        <v>61</v>
      </c>
      <c r="E39" s="5" t="s">
        <v>62</v>
      </c>
      <c r="F39" s="5" t="s">
        <v>63</v>
      </c>
      <c r="G39" s="5" t="s">
        <v>64</v>
      </c>
      <c r="H39" s="6">
        <f t="shared" si="0"/>
        <v>45213.0</v>
      </c>
      <c r="I39" s="6">
        <f t="shared" si="1"/>
        <v>45237.0</v>
      </c>
      <c r="J39" s="7">
        <f t="shared" si="2"/>
        <v>24.0</v>
      </c>
      <c r="K39" s="8">
        <v>30.0</v>
      </c>
      <c r="L39" s="8">
        <v>899.0</v>
      </c>
      <c r="M39" s="8">
        <f t="shared" si="3"/>
        <v>1348.5</v>
      </c>
      <c r="N39" s="8">
        <v>720.0</v>
      </c>
      <c r="O39" s="8">
        <f t="shared" si="4"/>
        <v>375.0</v>
      </c>
      <c r="P39" s="8">
        <f t="shared" si="5"/>
        <v>87.0</v>
      </c>
      <c r="Q39" s="9" t="s">
        <f>IF(Table2[[#This Row],[lead_time_days]]&lt;10,"On time","Late")</f>
        <v>43</v>
      </c>
      <c r="R39" t="s">
        <f>IF(Table2[[#This Row],[stock_on_hand]]&gt;700,"Overstock","FIne")</f>
        <v>39</v>
      </c>
    </row>
    <row r="40" ht="14.0">
      <c r="A40" s="5" t="s">
        <v>100</v>
      </c>
      <c r="B40" s="5" t="s">
        <v>66</v>
      </c>
      <c r="C40" s="5" t="s">
        <v>67</v>
      </c>
      <c r="D40" s="5" t="s">
        <v>68</v>
      </c>
      <c r="E40" s="5" t="s">
        <v>38</v>
      </c>
      <c r="F40" s="5" t="s">
        <v>63</v>
      </c>
      <c r="G40" s="5" t="s">
        <v>64</v>
      </c>
      <c r="H40" s="6">
        <f t="shared" si="0"/>
        <v>45021.0</v>
      </c>
      <c r="I40" s="6">
        <f t="shared" si="1"/>
        <v>45043.0</v>
      </c>
      <c r="J40" s="7">
        <f t="shared" si="2"/>
        <v>22.0</v>
      </c>
      <c r="K40" s="8">
        <v>5.0</v>
      </c>
      <c r="L40" s="8">
        <v>705.0</v>
      </c>
      <c r="M40" s="8">
        <f t="shared" si="3"/>
        <v>1057.5</v>
      </c>
      <c r="N40" s="8">
        <v>654.0</v>
      </c>
      <c r="O40" s="8">
        <f t="shared" si="4"/>
        <v>342.0</v>
      </c>
      <c r="P40" s="8">
        <f t="shared" si="5"/>
        <v>80.4</v>
      </c>
      <c r="Q40" s="9" t="s">
        <f>IF(Table2[[#This Row],[lead_time_days]]&lt;10,"On time","Late")</f>
        <v>43</v>
      </c>
      <c r="R40" t="s">
        <f>IF(Table2[[#This Row],[stock_on_hand]]&gt;700,"Overstock","FIne")</f>
        <v>26</v>
      </c>
    </row>
    <row r="41" ht="14.0">
      <c r="A41" s="5" t="s">
        <v>101</v>
      </c>
      <c r="B41" s="5" t="s">
        <v>70</v>
      </c>
      <c r="C41" s="5" t="s">
        <v>71</v>
      </c>
      <c r="D41" s="5" t="s">
        <v>21</v>
      </c>
      <c r="E41" s="5" t="s">
        <v>22</v>
      </c>
      <c r="F41" s="5" t="s">
        <v>32</v>
      </c>
      <c r="G41" s="5" t="s">
        <v>33</v>
      </c>
      <c r="H41" s="6">
        <f t="shared" si="0"/>
        <v>44958.0</v>
      </c>
      <c r="I41" s="6">
        <f t="shared" si="1"/>
        <v>44980.0</v>
      </c>
      <c r="J41" s="7">
        <f t="shared" si="2"/>
        <v>22.0</v>
      </c>
      <c r="K41" s="8">
        <v>74.0</v>
      </c>
      <c r="L41" s="8">
        <v>736.0</v>
      </c>
      <c r="M41" s="8">
        <f t="shared" si="3"/>
        <v>1104.0</v>
      </c>
      <c r="N41" s="8">
        <v>729.0</v>
      </c>
      <c r="O41" s="8">
        <f t="shared" si="4"/>
        <v>379.5</v>
      </c>
      <c r="P41" s="8">
        <f t="shared" si="5"/>
        <v>87.9</v>
      </c>
      <c r="Q41" s="9" t="s">
        <f>IF(Table2[[#This Row],[lead_time_days]]&lt;10,"On time","Late")</f>
        <v>43</v>
      </c>
      <c r="R41" t="s">
        <f>IF(Table2[[#This Row],[stock_on_hand]]&gt;700,"Overstock","FIne")</f>
        <v>39</v>
      </c>
    </row>
    <row r="42" ht="14.0">
      <c r="A42" s="5" t="s">
        <v>102</v>
      </c>
      <c r="B42" s="5" t="s">
        <v>19</v>
      </c>
      <c r="C42" s="5" t="s">
        <v>20</v>
      </c>
      <c r="D42" s="5" t="s">
        <v>21</v>
      </c>
      <c r="E42" s="5" t="s">
        <v>22</v>
      </c>
      <c r="F42" s="5" t="s">
        <v>23</v>
      </c>
      <c r="G42" s="5" t="s">
        <v>24</v>
      </c>
      <c r="H42" s="6">
        <f t="shared" si="0"/>
        <v>44997.0</v>
      </c>
      <c r="I42" s="6">
        <f t="shared" si="1"/>
        <v>45016.0</v>
      </c>
      <c r="J42" s="7">
        <f t="shared" si="2"/>
        <v>19.0</v>
      </c>
      <c r="K42" s="8">
        <v>88.0</v>
      </c>
      <c r="L42" s="8">
        <v>516.0</v>
      </c>
      <c r="M42" s="8">
        <f t="shared" si="3"/>
        <v>774.0</v>
      </c>
      <c r="N42" s="8">
        <v>738.0</v>
      </c>
      <c r="O42" s="8">
        <f t="shared" si="4"/>
        <v>384.0</v>
      </c>
      <c r="P42" s="8">
        <f t="shared" si="5"/>
        <v>88.8</v>
      </c>
      <c r="Q42" s="9" t="s">
        <f>IF(Table2[[#This Row],[lead_time_days]]&lt;10,"On time","Late")</f>
        <v>43</v>
      </c>
      <c r="R42" t="s">
        <f>IF(Table2[[#This Row],[stock_on_hand]]&gt;700,"Overstock","FIne")</f>
        <v>39</v>
      </c>
    </row>
    <row r="43" ht="14.0">
      <c r="A43" s="5" t="s">
        <v>103</v>
      </c>
      <c r="B43" s="5" t="s">
        <v>28</v>
      </c>
      <c r="C43" s="5" t="s">
        <v>29</v>
      </c>
      <c r="D43" s="5" t="s">
        <v>30</v>
      </c>
      <c r="E43" s="5" t="s">
        <v>31</v>
      </c>
      <c r="F43" s="5" t="s">
        <v>32</v>
      </c>
      <c r="G43" s="5" t="s">
        <v>33</v>
      </c>
      <c r="H43" s="6">
        <f t="shared" si="0"/>
        <v>45197.0</v>
      </c>
      <c r="I43" s="6">
        <f t="shared" si="1"/>
        <v>45200.0</v>
      </c>
      <c r="J43" s="7">
        <f t="shared" si="2"/>
        <v>3.0</v>
      </c>
      <c r="K43" s="8">
        <v>62.0</v>
      </c>
      <c r="L43" s="8">
        <v>654.0</v>
      </c>
      <c r="M43" s="8">
        <f t="shared" si="3"/>
        <v>981.0</v>
      </c>
      <c r="N43" s="8">
        <v>885.0</v>
      </c>
      <c r="O43" s="8">
        <f t="shared" si="4"/>
        <v>457.5</v>
      </c>
      <c r="P43" s="8">
        <f t="shared" si="5"/>
        <v>103.5</v>
      </c>
      <c r="Q43" s="9" t="s">
        <f>IF(Table2[[#This Row],[lead_time_days]]&lt;10,"On time","Late")</f>
        <v>25</v>
      </c>
      <c r="R43" t="s">
        <f>IF(Table2[[#This Row],[stock_on_hand]]&gt;700,"Overstock","FIne")</f>
        <v>39</v>
      </c>
    </row>
    <row r="44" ht="14.0">
      <c r="A44" s="5" t="s">
        <v>104</v>
      </c>
      <c r="B44" s="5" t="s">
        <v>35</v>
      </c>
      <c r="C44" s="5" t="s">
        <v>36</v>
      </c>
      <c r="D44" s="5" t="s">
        <v>37</v>
      </c>
      <c r="E44" s="5" t="s">
        <v>38</v>
      </c>
      <c r="F44" s="5" t="s">
        <v>23</v>
      </c>
      <c r="G44" s="5" t="s">
        <v>24</v>
      </c>
      <c r="H44" s="6">
        <f t="shared" si="0"/>
        <v>45129.0</v>
      </c>
      <c r="I44" s="6">
        <f t="shared" si="1"/>
        <v>45136.0</v>
      </c>
      <c r="J44" s="7">
        <f t="shared" si="2"/>
        <v>7.0</v>
      </c>
      <c r="K44" s="8">
        <v>18.0</v>
      </c>
      <c r="L44" s="8">
        <v>583.0</v>
      </c>
      <c r="M44" s="8">
        <f t="shared" si="3"/>
        <v>874.5</v>
      </c>
      <c r="N44" s="8">
        <v>527.0</v>
      </c>
      <c r="O44" s="8">
        <f t="shared" si="4"/>
        <v>278.5</v>
      </c>
      <c r="P44" s="8">
        <f t="shared" si="5"/>
        <v>67.7</v>
      </c>
      <c r="Q44" s="9" t="s">
        <f>IF(Table2[[#This Row],[lead_time_days]]&lt;10,"On time","Late")</f>
        <v>25</v>
      </c>
      <c r="R44" t="s">
        <f>IF(Table2[[#This Row],[stock_on_hand]]&gt;700,"Overstock","FIne")</f>
        <v>26</v>
      </c>
    </row>
    <row r="45" ht="14.0">
      <c r="A45" s="5" t="s">
        <v>105</v>
      </c>
      <c r="B45" s="5" t="s">
        <v>41</v>
      </c>
      <c r="C45" s="5" t="s">
        <v>42</v>
      </c>
      <c r="D45" s="5" t="s">
        <v>21</v>
      </c>
      <c r="E45" s="5" t="s">
        <v>22</v>
      </c>
      <c r="F45" s="5" t="s">
        <v>32</v>
      </c>
      <c r="G45" s="5" t="s">
        <v>33</v>
      </c>
      <c r="H45" s="6">
        <f t="shared" si="0"/>
        <v>45121.0</v>
      </c>
      <c r="I45" s="6">
        <f t="shared" si="1"/>
        <v>45142.0</v>
      </c>
      <c r="J45" s="7">
        <f t="shared" si="2"/>
        <v>21.0</v>
      </c>
      <c r="K45" s="8">
        <v>40.0</v>
      </c>
      <c r="L45" s="8">
        <v>583.0</v>
      </c>
      <c r="M45" s="8">
        <f t="shared" si="3"/>
        <v>874.5</v>
      </c>
      <c r="N45" s="8">
        <v>821.0</v>
      </c>
      <c r="O45" s="8">
        <f t="shared" si="4"/>
        <v>425.5</v>
      </c>
      <c r="P45" s="8">
        <f t="shared" si="5"/>
        <v>97.1</v>
      </c>
      <c r="Q45" s="9" t="s">
        <f>IF(Table2[[#This Row],[lead_time_days]]&lt;10,"On time","Late")</f>
        <v>43</v>
      </c>
      <c r="R45" t="s">
        <f>IF(Table2[[#This Row],[stock_on_hand]]&gt;700,"Overstock","FIne")</f>
        <v>39</v>
      </c>
    </row>
    <row r="46" ht="14.0">
      <c r="A46" s="5" t="s">
        <v>106</v>
      </c>
      <c r="B46" s="5" t="s">
        <v>45</v>
      </c>
      <c r="C46" s="5" t="s">
        <v>46</v>
      </c>
      <c r="D46" s="5" t="s">
        <v>47</v>
      </c>
      <c r="E46" s="5" t="s">
        <v>38</v>
      </c>
      <c r="F46" s="5" t="s">
        <v>48</v>
      </c>
      <c r="G46" s="5" t="s">
        <v>49</v>
      </c>
      <c r="H46" s="6">
        <f t="shared" si="0"/>
        <v>45221.0</v>
      </c>
      <c r="I46" s="6">
        <f t="shared" si="1"/>
        <v>45245.0</v>
      </c>
      <c r="J46" s="7">
        <f t="shared" si="2"/>
        <v>24.0</v>
      </c>
      <c r="K46" s="8">
        <v>78.0</v>
      </c>
      <c r="L46" s="8">
        <v>696.0</v>
      </c>
      <c r="M46" s="8">
        <f t="shared" si="3"/>
        <v>1044.0</v>
      </c>
      <c r="N46" s="8">
        <v>648.0</v>
      </c>
      <c r="O46" s="8">
        <f t="shared" si="4"/>
        <v>339.0</v>
      </c>
      <c r="P46" s="8">
        <f t="shared" si="5"/>
        <v>79.8</v>
      </c>
      <c r="Q46" s="9" t="s">
        <f>IF(Table2[[#This Row],[lead_time_days]]&lt;10,"On time","Late")</f>
        <v>43</v>
      </c>
      <c r="R46" t="s">
        <f>IF(Table2[[#This Row],[stock_on_hand]]&gt;700,"Overstock","FIne")</f>
        <v>26</v>
      </c>
    </row>
    <row r="47" ht="14.0">
      <c r="A47" s="5" t="s">
        <v>107</v>
      </c>
      <c r="B47" s="5" t="s">
        <v>51</v>
      </c>
      <c r="C47" s="5" t="s">
        <v>52</v>
      </c>
      <c r="D47" s="5" t="s">
        <v>53</v>
      </c>
      <c r="E47" s="5" t="s">
        <v>31</v>
      </c>
      <c r="F47" s="5" t="s">
        <v>48</v>
      </c>
      <c r="G47" s="5" t="s">
        <v>49</v>
      </c>
      <c r="H47" s="6">
        <f t="shared" si="0"/>
        <v>44982.0</v>
      </c>
      <c r="I47" s="6">
        <f t="shared" si="1"/>
        <v>44997.0</v>
      </c>
      <c r="J47" s="7">
        <f t="shared" si="2"/>
        <v>15.0</v>
      </c>
      <c r="K47" s="8">
        <v>36.0</v>
      </c>
      <c r="L47" s="8">
        <v>853.0</v>
      </c>
      <c r="M47" s="8">
        <f t="shared" si="3"/>
        <v>1279.5</v>
      </c>
      <c r="N47" s="8">
        <v>680.0</v>
      </c>
      <c r="O47" s="8">
        <f t="shared" si="4"/>
        <v>355.0</v>
      </c>
      <c r="P47" s="8">
        <f t="shared" si="5"/>
        <v>83.0</v>
      </c>
      <c r="Q47" s="9" t="s">
        <f>IF(Table2[[#This Row],[lead_time_days]]&lt;10,"On time","Late")</f>
        <v>43</v>
      </c>
      <c r="R47" t="s">
        <f>IF(Table2[[#This Row],[stock_on_hand]]&gt;700,"Overstock","FIne")</f>
        <v>26</v>
      </c>
    </row>
    <row r="48" ht="14.0">
      <c r="A48" s="5" t="s">
        <v>108</v>
      </c>
      <c r="B48" s="5" t="s">
        <v>55</v>
      </c>
      <c r="C48" s="5" t="s">
        <v>56</v>
      </c>
      <c r="D48" s="5" t="s">
        <v>57</v>
      </c>
      <c r="E48" s="5" t="s">
        <v>38</v>
      </c>
      <c r="F48" s="5" t="s">
        <v>32</v>
      </c>
      <c r="G48" s="5" t="s">
        <v>33</v>
      </c>
      <c r="H48" s="6">
        <f t="shared" si="0"/>
        <v>44990.0</v>
      </c>
      <c r="I48" s="6">
        <f t="shared" si="1"/>
        <v>45009.0</v>
      </c>
      <c r="J48" s="7">
        <f t="shared" si="2"/>
        <v>19.0</v>
      </c>
      <c r="K48" s="8">
        <v>90.0</v>
      </c>
      <c r="L48" s="8">
        <v>663.0</v>
      </c>
      <c r="M48" s="8">
        <f t="shared" si="3"/>
        <v>994.5</v>
      </c>
      <c r="N48" s="8">
        <v>502.0</v>
      </c>
      <c r="O48" s="8">
        <f t="shared" si="4"/>
        <v>266.0</v>
      </c>
      <c r="P48" s="8">
        <f t="shared" si="5"/>
        <v>65.2</v>
      </c>
      <c r="Q48" s="9" t="s">
        <f>IF(Table2[[#This Row],[lead_time_days]]&lt;10,"On time","Late")</f>
        <v>43</v>
      </c>
      <c r="R48" t="s">
        <f>IF(Table2[[#This Row],[stock_on_hand]]&gt;700,"Overstock","FIne")</f>
        <v>26</v>
      </c>
    </row>
    <row r="49" ht="14.0">
      <c r="A49" s="5" t="s">
        <v>109</v>
      </c>
      <c r="B49" s="5" t="s">
        <v>59</v>
      </c>
      <c r="C49" s="5" t="s">
        <v>60</v>
      </c>
      <c r="D49" s="5" t="s">
        <v>61</v>
      </c>
      <c r="E49" s="5" t="s">
        <v>62</v>
      </c>
      <c r="F49" s="5" t="s">
        <v>63</v>
      </c>
      <c r="G49" s="5" t="s">
        <v>64</v>
      </c>
      <c r="H49" s="6">
        <f t="shared" si="0"/>
        <v>44936.0</v>
      </c>
      <c r="I49" s="6">
        <f t="shared" si="1"/>
        <v>44937.0</v>
      </c>
      <c r="J49" s="7">
        <f t="shared" si="2"/>
        <v>1.0</v>
      </c>
      <c r="K49" s="8">
        <v>86.0</v>
      </c>
      <c r="L49" s="8">
        <v>927.0</v>
      </c>
      <c r="M49" s="8">
        <f t="shared" si="3"/>
        <v>1390.5</v>
      </c>
      <c r="N49" s="8">
        <v>939.0</v>
      </c>
      <c r="O49" s="8">
        <f t="shared" si="4"/>
        <v>484.5</v>
      </c>
      <c r="P49" s="8">
        <f t="shared" si="5"/>
        <v>108.9</v>
      </c>
      <c r="Q49" s="9" t="s">
        <f>IF(Table2[[#This Row],[lead_time_days]]&lt;10,"On time","Late")</f>
        <v>25</v>
      </c>
      <c r="R49" t="s">
        <f>IF(Table2[[#This Row],[stock_on_hand]]&gt;700,"Overstock","FIne")</f>
        <v>39</v>
      </c>
    </row>
    <row r="50" ht="14.0">
      <c r="A50" s="5" t="s">
        <v>110</v>
      </c>
      <c r="B50" s="5" t="s">
        <v>66</v>
      </c>
      <c r="C50" s="5" t="s">
        <v>67</v>
      </c>
      <c r="D50" s="5" t="s">
        <v>68</v>
      </c>
      <c r="E50" s="5" t="s">
        <v>38</v>
      </c>
      <c r="F50" s="5" t="s">
        <v>63</v>
      </c>
      <c r="G50" s="5" t="s">
        <v>64</v>
      </c>
      <c r="H50" s="6">
        <f t="shared" si="0"/>
        <v>45123.0</v>
      </c>
      <c r="I50" s="6">
        <f t="shared" si="1"/>
        <v>45136.0</v>
      </c>
      <c r="J50" s="7">
        <f t="shared" si="2"/>
        <v>13.0</v>
      </c>
      <c r="K50" s="8">
        <v>2.0</v>
      </c>
      <c r="L50" s="8">
        <v>837.0</v>
      </c>
      <c r="M50" s="8">
        <f t="shared" si="3"/>
        <v>1255.5</v>
      </c>
      <c r="N50" s="8">
        <v>637.0</v>
      </c>
      <c r="O50" s="8">
        <f t="shared" si="4"/>
        <v>333.5</v>
      </c>
      <c r="P50" s="8">
        <f t="shared" si="5"/>
        <v>78.7</v>
      </c>
      <c r="Q50" s="9" t="s">
        <f>IF(Table2[[#This Row],[lead_time_days]]&lt;10,"On time","Late")</f>
        <v>43</v>
      </c>
      <c r="R50" t="s">
        <f>IF(Table2[[#This Row],[stock_on_hand]]&gt;700,"Overstock","FIne")</f>
        <v>26</v>
      </c>
    </row>
    <row r="51" ht="14.0">
      <c r="A51" s="5" t="s">
        <v>111</v>
      </c>
      <c r="B51" s="5" t="s">
        <v>70</v>
      </c>
      <c r="C51" s="5" t="s">
        <v>71</v>
      </c>
      <c r="D51" s="5" t="s">
        <v>21</v>
      </c>
      <c r="E51" s="5" t="s">
        <v>22</v>
      </c>
      <c r="F51" s="5" t="s">
        <v>32</v>
      </c>
      <c r="G51" s="5" t="s">
        <v>33</v>
      </c>
      <c r="H51" s="6">
        <f t="shared" si="0"/>
        <v>45237.0</v>
      </c>
      <c r="I51" s="6">
        <f t="shared" si="1"/>
        <v>45253.0</v>
      </c>
      <c r="J51" s="7">
        <f t="shared" si="2"/>
        <v>16.0</v>
      </c>
      <c r="K51" s="8">
        <v>100.0</v>
      </c>
      <c r="L51" s="8">
        <v>514.0</v>
      </c>
      <c r="M51" s="8">
        <f t="shared" si="3"/>
        <v>771.0</v>
      </c>
      <c r="N51" s="8">
        <v>865.0</v>
      </c>
      <c r="O51" s="8">
        <f t="shared" si="4"/>
        <v>447.5</v>
      </c>
      <c r="P51" s="8">
        <f t="shared" si="5"/>
        <v>101.5</v>
      </c>
      <c r="Q51" s="9" t="s">
        <f>IF(Table2[[#This Row],[lead_time_days]]&lt;10,"On time","Late")</f>
        <v>43</v>
      </c>
      <c r="R51" t="s">
        <f>IF(Table2[[#This Row],[stock_on_hand]]&gt;700,"Overstock","FIne")</f>
        <v>39</v>
      </c>
    </row>
    <row r="52" ht="14.0">
      <c r="A52" s="5" t="s">
        <v>112</v>
      </c>
      <c r="B52" s="5" t="s">
        <v>19</v>
      </c>
      <c r="C52" s="5" t="s">
        <v>20</v>
      </c>
      <c r="D52" s="5" t="s">
        <v>21</v>
      </c>
      <c r="E52" s="5" t="s">
        <v>22</v>
      </c>
      <c r="F52" s="5" t="s">
        <v>23</v>
      </c>
      <c r="G52" s="5" t="s">
        <v>24</v>
      </c>
      <c r="H52" s="6">
        <f t="shared" si="0"/>
        <v>44957.0</v>
      </c>
      <c r="I52" s="6">
        <f t="shared" si="1"/>
        <v>44967.0</v>
      </c>
      <c r="J52" s="7">
        <f t="shared" si="2"/>
        <v>10.0</v>
      </c>
      <c r="K52" s="8">
        <v>3.0</v>
      </c>
      <c r="L52" s="8">
        <v>737.0</v>
      </c>
      <c r="M52" s="8">
        <f t="shared" si="3"/>
        <v>1105.5</v>
      </c>
      <c r="N52" s="8">
        <v>883.0</v>
      </c>
      <c r="O52" s="8">
        <f t="shared" si="4"/>
        <v>456.5</v>
      </c>
      <c r="P52" s="8">
        <f t="shared" si="5"/>
        <v>103.3</v>
      </c>
      <c r="Q52" s="9" t="s">
        <f>IF(Table2[[#This Row],[lead_time_days]]&lt;10,"On time","Late")</f>
        <v>43</v>
      </c>
      <c r="R52" t="s">
        <f>IF(Table2[[#This Row],[stock_on_hand]]&gt;700,"Overstock","FIne")</f>
        <v>39</v>
      </c>
    </row>
    <row r="53" ht="14.0">
      <c r="A53" s="5" t="s">
        <v>113</v>
      </c>
      <c r="B53" s="5" t="s">
        <v>28</v>
      </c>
      <c r="C53" s="5" t="s">
        <v>29</v>
      </c>
      <c r="D53" s="5" t="s">
        <v>30</v>
      </c>
      <c r="E53" s="5" t="s">
        <v>31</v>
      </c>
      <c r="F53" s="5" t="s">
        <v>32</v>
      </c>
      <c r="G53" s="5" t="s">
        <v>33</v>
      </c>
      <c r="H53" s="6">
        <f t="shared" si="0"/>
        <v>45088.0</v>
      </c>
      <c r="I53" s="6">
        <f t="shared" si="1"/>
        <v>45113.0</v>
      </c>
      <c r="J53" s="7">
        <f t="shared" si="2"/>
        <v>25.0</v>
      </c>
      <c r="K53" s="8">
        <v>16.0</v>
      </c>
      <c r="L53" s="8">
        <v>883.0</v>
      </c>
      <c r="M53" s="8">
        <f t="shared" si="3"/>
        <v>1324.5</v>
      </c>
      <c r="N53" s="8">
        <v>642.0</v>
      </c>
      <c r="O53" s="8">
        <f t="shared" si="4"/>
        <v>336.0</v>
      </c>
      <c r="P53" s="8">
        <f t="shared" si="5"/>
        <v>79.2</v>
      </c>
      <c r="Q53" s="9" t="s">
        <f>IF(Table2[[#This Row],[lead_time_days]]&lt;10,"On time","Late")</f>
        <v>43</v>
      </c>
      <c r="R53" t="s">
        <f>IF(Table2[[#This Row],[stock_on_hand]]&gt;700,"Overstock","FIne")</f>
        <v>26</v>
      </c>
    </row>
    <row r="54" ht="14.0">
      <c r="A54" s="5" t="s">
        <v>114</v>
      </c>
      <c r="B54" s="5" t="s">
        <v>35</v>
      </c>
      <c r="C54" s="5" t="s">
        <v>36</v>
      </c>
      <c r="D54" s="5" t="s">
        <v>37</v>
      </c>
      <c r="E54" s="5" t="s">
        <v>38</v>
      </c>
      <c r="F54" s="5" t="s">
        <v>23</v>
      </c>
      <c r="G54" s="5" t="s">
        <v>24</v>
      </c>
      <c r="H54" s="6">
        <f t="shared" si="0"/>
        <v>44944.0</v>
      </c>
      <c r="I54" s="6">
        <f t="shared" si="1"/>
        <v>44945.0</v>
      </c>
      <c r="J54" s="7">
        <f t="shared" si="2"/>
        <v>1.0</v>
      </c>
      <c r="K54" s="8">
        <v>85.0</v>
      </c>
      <c r="L54" s="8">
        <v>705.0</v>
      </c>
      <c r="M54" s="8">
        <f t="shared" si="3"/>
        <v>1057.5</v>
      </c>
      <c r="N54" s="8">
        <v>604.0</v>
      </c>
      <c r="O54" s="8">
        <f t="shared" si="4"/>
        <v>317.0</v>
      </c>
      <c r="P54" s="8">
        <f t="shared" si="5"/>
        <v>75.4</v>
      </c>
      <c r="Q54" s="9" t="s">
        <f>IF(Table2[[#This Row],[lead_time_days]]&lt;10,"On time","Late")</f>
        <v>25</v>
      </c>
      <c r="R54" t="s">
        <f>IF(Table2[[#This Row],[stock_on_hand]]&gt;700,"Overstock","FIne")</f>
        <v>26</v>
      </c>
    </row>
    <row r="55" ht="14.0">
      <c r="A55" s="5" t="s">
        <v>115</v>
      </c>
      <c r="B55" s="5" t="s">
        <v>41</v>
      </c>
      <c r="C55" s="5" t="s">
        <v>42</v>
      </c>
      <c r="D55" s="5" t="s">
        <v>21</v>
      </c>
      <c r="E55" s="5" t="s">
        <v>22</v>
      </c>
      <c r="F55" s="5" t="s">
        <v>32</v>
      </c>
      <c r="G55" s="5" t="s">
        <v>33</v>
      </c>
      <c r="H55" s="6">
        <f t="shared" si="0"/>
        <v>45240.0</v>
      </c>
      <c r="I55" s="6">
        <f t="shared" si="1"/>
        <v>45252.0</v>
      </c>
      <c r="J55" s="7">
        <f t="shared" si="2"/>
        <v>12.0</v>
      </c>
      <c r="K55" s="8">
        <v>67.0</v>
      </c>
      <c r="L55" s="8">
        <v>653.0</v>
      </c>
      <c r="M55" s="8">
        <f t="shared" si="3"/>
        <v>979.5</v>
      </c>
      <c r="N55" s="8">
        <v>514.0</v>
      </c>
      <c r="O55" s="8">
        <f t="shared" si="4"/>
        <v>272.0</v>
      </c>
      <c r="P55" s="8">
        <f t="shared" si="5"/>
        <v>66.4</v>
      </c>
      <c r="Q55" s="9" t="s">
        <f>IF(Table2[[#This Row],[lead_time_days]]&lt;10,"On time","Late")</f>
        <v>43</v>
      </c>
      <c r="R55" t="s">
        <f>IF(Table2[[#This Row],[stock_on_hand]]&gt;700,"Overstock","FIne")</f>
        <v>26</v>
      </c>
    </row>
    <row r="56" ht="14.0">
      <c r="A56" s="5" t="s">
        <v>116</v>
      </c>
      <c r="B56" s="5" t="s">
        <v>45</v>
      </c>
      <c r="C56" s="5" t="s">
        <v>46</v>
      </c>
      <c r="D56" s="5" t="s">
        <v>47</v>
      </c>
      <c r="E56" s="5" t="s">
        <v>38</v>
      </c>
      <c r="F56" s="5" t="s">
        <v>48</v>
      </c>
      <c r="G56" s="5" t="s">
        <v>49</v>
      </c>
      <c r="H56" s="6">
        <f t="shared" si="0"/>
        <v>44947.0</v>
      </c>
      <c r="I56" s="6">
        <f t="shared" si="1"/>
        <v>44952.0</v>
      </c>
      <c r="J56" s="7">
        <f t="shared" si="2"/>
        <v>5.0</v>
      </c>
      <c r="K56" s="8">
        <v>48.0</v>
      </c>
      <c r="L56" s="8">
        <v>976.0</v>
      </c>
      <c r="M56" s="8">
        <f t="shared" si="3"/>
        <v>1464.0</v>
      </c>
      <c r="N56" s="8">
        <v>731.0</v>
      </c>
      <c r="O56" s="8">
        <f t="shared" si="4"/>
        <v>380.5</v>
      </c>
      <c r="P56" s="8">
        <f t="shared" si="5"/>
        <v>88.1</v>
      </c>
      <c r="Q56" s="9" t="s">
        <f>IF(Table2[[#This Row],[lead_time_days]]&lt;10,"On time","Late")</f>
        <v>25</v>
      </c>
      <c r="R56" t="s">
        <f>IF(Table2[[#This Row],[stock_on_hand]]&gt;700,"Overstock","FIne")</f>
        <v>39</v>
      </c>
    </row>
    <row r="57" ht="14.0">
      <c r="A57" s="5" t="s">
        <v>117</v>
      </c>
      <c r="B57" s="5" t="s">
        <v>51</v>
      </c>
      <c r="C57" s="5" t="s">
        <v>52</v>
      </c>
      <c r="D57" s="5" t="s">
        <v>53</v>
      </c>
      <c r="E57" s="5" t="s">
        <v>31</v>
      </c>
      <c r="F57" s="5" t="s">
        <v>48</v>
      </c>
      <c r="G57" s="5" t="s">
        <v>49</v>
      </c>
      <c r="H57" s="6">
        <f t="shared" si="0"/>
        <v>44988.0</v>
      </c>
      <c r="I57" s="6">
        <f t="shared" si="1"/>
        <v>44999.0</v>
      </c>
      <c r="J57" s="7">
        <f t="shared" si="2"/>
        <v>11.0</v>
      </c>
      <c r="K57" s="8">
        <v>43.0</v>
      </c>
      <c r="L57" s="8">
        <v>590.0</v>
      </c>
      <c r="M57" s="8">
        <f t="shared" si="3"/>
        <v>885.0</v>
      </c>
      <c r="N57" s="8">
        <v>968.0</v>
      </c>
      <c r="O57" s="8">
        <f t="shared" si="4"/>
        <v>499.0</v>
      </c>
      <c r="P57" s="8">
        <f t="shared" si="5"/>
        <v>111.8</v>
      </c>
      <c r="Q57" s="9" t="s">
        <f>IF(Table2[[#This Row],[lead_time_days]]&lt;10,"On time","Late")</f>
        <v>43</v>
      </c>
      <c r="R57" t="s">
        <f>IF(Table2[[#This Row],[stock_on_hand]]&gt;700,"Overstock","FIne")</f>
        <v>39</v>
      </c>
    </row>
    <row r="58" ht="14.0">
      <c r="A58" s="5" t="s">
        <v>118</v>
      </c>
      <c r="B58" s="5" t="s">
        <v>55</v>
      </c>
      <c r="C58" s="5" t="s">
        <v>56</v>
      </c>
      <c r="D58" s="5" t="s">
        <v>57</v>
      </c>
      <c r="E58" s="5" t="s">
        <v>38</v>
      </c>
      <c r="F58" s="5" t="s">
        <v>32</v>
      </c>
      <c r="G58" s="5" t="s">
        <v>33</v>
      </c>
      <c r="H58" s="6">
        <f t="shared" si="0"/>
        <v>45281.0</v>
      </c>
      <c r="I58" s="6">
        <f t="shared" si="1"/>
        <v>45293.0</v>
      </c>
      <c r="J58" s="7">
        <f t="shared" si="2"/>
        <v>12.0</v>
      </c>
      <c r="K58" s="8">
        <v>21.0</v>
      </c>
      <c r="L58" s="8">
        <v>570.0</v>
      </c>
      <c r="M58" s="8">
        <f t="shared" si="3"/>
        <v>855.0</v>
      </c>
      <c r="N58" s="8">
        <v>515.0</v>
      </c>
      <c r="O58" s="8">
        <f t="shared" si="4"/>
        <v>272.5</v>
      </c>
      <c r="P58" s="8">
        <f t="shared" si="5"/>
        <v>66.5</v>
      </c>
      <c r="Q58" s="9" t="s">
        <f>IF(Table2[[#This Row],[lead_time_days]]&lt;10,"On time","Late")</f>
        <v>43</v>
      </c>
      <c r="R58" t="s">
        <f>IF(Table2[[#This Row],[stock_on_hand]]&gt;700,"Overstock","FIne")</f>
        <v>26</v>
      </c>
    </row>
    <row r="59" ht="14.0">
      <c r="A59" s="5" t="s">
        <v>119</v>
      </c>
      <c r="B59" s="5" t="s">
        <v>59</v>
      </c>
      <c r="C59" s="5" t="s">
        <v>60</v>
      </c>
      <c r="D59" s="5" t="s">
        <v>61</v>
      </c>
      <c r="E59" s="5" t="s">
        <v>62</v>
      </c>
      <c r="F59" s="5" t="s">
        <v>63</v>
      </c>
      <c r="G59" s="5" t="s">
        <v>64</v>
      </c>
      <c r="H59" s="6">
        <f t="shared" si="0"/>
        <v>45202.0</v>
      </c>
      <c r="I59" s="6">
        <f t="shared" si="1"/>
        <v>45221.0</v>
      </c>
      <c r="J59" s="7">
        <f t="shared" si="2"/>
        <v>19.0</v>
      </c>
      <c r="K59" s="8">
        <v>27.0</v>
      </c>
      <c r="L59" s="8">
        <v>789.0</v>
      </c>
      <c r="M59" s="8">
        <f t="shared" si="3"/>
        <v>1183.5</v>
      </c>
      <c r="N59" s="8">
        <v>515.0</v>
      </c>
      <c r="O59" s="8">
        <f t="shared" si="4"/>
        <v>272.5</v>
      </c>
      <c r="P59" s="8">
        <f t="shared" si="5"/>
        <v>66.5</v>
      </c>
      <c r="Q59" s="9" t="s">
        <f>IF(Table2[[#This Row],[lead_time_days]]&lt;10,"On time","Late")</f>
        <v>43</v>
      </c>
      <c r="R59" t="s">
        <f>IF(Table2[[#This Row],[stock_on_hand]]&gt;700,"Overstock","FIne")</f>
        <v>26</v>
      </c>
    </row>
    <row r="60" ht="14.0">
      <c r="A60" s="5" t="s">
        <v>120</v>
      </c>
      <c r="B60" s="5" t="s">
        <v>66</v>
      </c>
      <c r="C60" s="5" t="s">
        <v>67</v>
      </c>
      <c r="D60" s="5" t="s">
        <v>68</v>
      </c>
      <c r="E60" s="5" t="s">
        <v>38</v>
      </c>
      <c r="F60" s="5" t="s">
        <v>63</v>
      </c>
      <c r="G60" s="5" t="s">
        <v>64</v>
      </c>
      <c r="H60" s="6">
        <f t="shared" si="0"/>
        <v>45280.0</v>
      </c>
      <c r="I60" s="6">
        <f t="shared" si="1"/>
        <v>45299.0</v>
      </c>
      <c r="J60" s="7">
        <f t="shared" si="2"/>
        <v>19.0</v>
      </c>
      <c r="K60" s="8">
        <v>34.0</v>
      </c>
      <c r="L60" s="8">
        <v>679.0</v>
      </c>
      <c r="M60" s="8">
        <f t="shared" si="3"/>
        <v>1018.5</v>
      </c>
      <c r="N60" s="8">
        <v>983.0</v>
      </c>
      <c r="O60" s="8">
        <f t="shared" si="4"/>
        <v>506.5</v>
      </c>
      <c r="P60" s="8">
        <f t="shared" si="5"/>
        <v>113.3</v>
      </c>
      <c r="Q60" s="9" t="s">
        <f>IF(Table2[[#This Row],[lead_time_days]]&lt;10,"On time","Late")</f>
        <v>43</v>
      </c>
      <c r="R60" t="s">
        <f>IF(Table2[[#This Row],[stock_on_hand]]&gt;700,"Overstock","FIne")</f>
        <v>39</v>
      </c>
    </row>
    <row r="61" ht="14.0">
      <c r="A61" s="5" t="s">
        <v>121</v>
      </c>
      <c r="B61" s="5" t="s">
        <v>70</v>
      </c>
      <c r="C61" s="5" t="s">
        <v>71</v>
      </c>
      <c r="D61" s="5" t="s">
        <v>21</v>
      </c>
      <c r="E61" s="5" t="s">
        <v>22</v>
      </c>
      <c r="F61" s="5" t="s">
        <v>32</v>
      </c>
      <c r="G61" s="5" t="s">
        <v>33</v>
      </c>
      <c r="H61" s="6">
        <f t="shared" si="0"/>
        <v>45159.0</v>
      </c>
      <c r="I61" s="6">
        <f t="shared" si="1"/>
        <v>45181.0</v>
      </c>
      <c r="J61" s="7">
        <f t="shared" si="2"/>
        <v>22.0</v>
      </c>
      <c r="K61" s="8">
        <v>9.0</v>
      </c>
      <c r="L61" s="8">
        <v>674.0</v>
      </c>
      <c r="M61" s="8">
        <f t="shared" si="3"/>
        <v>1011.0</v>
      </c>
      <c r="N61" s="8">
        <v>987.0</v>
      </c>
      <c r="O61" s="8">
        <f t="shared" si="4"/>
        <v>508.5</v>
      </c>
      <c r="P61" s="8">
        <f t="shared" si="5"/>
        <v>113.7</v>
      </c>
      <c r="Q61" s="9" t="s">
        <f>IF(Table2[[#This Row],[lead_time_days]]&lt;10,"On time","Late")</f>
        <v>43</v>
      </c>
      <c r="R61" t="s">
        <f>IF(Table2[[#This Row],[stock_on_hand]]&gt;700,"Overstock","FIne")</f>
        <v>39</v>
      </c>
    </row>
    <row r="62" ht="14.0">
      <c r="A62" s="5" t="s">
        <v>122</v>
      </c>
      <c r="B62" s="5" t="s">
        <v>19</v>
      </c>
      <c r="C62" s="5" t="s">
        <v>20</v>
      </c>
      <c r="D62" s="5" t="s">
        <v>21</v>
      </c>
      <c r="E62" s="5" t="s">
        <v>22</v>
      </c>
      <c r="F62" s="5" t="s">
        <v>23</v>
      </c>
      <c r="G62" s="5" t="s">
        <v>24</v>
      </c>
      <c r="H62" s="6">
        <f t="shared" si="0"/>
        <v>45167.0</v>
      </c>
      <c r="I62" s="6">
        <f t="shared" si="1"/>
        <v>45176.0</v>
      </c>
      <c r="J62" s="7">
        <f t="shared" si="2"/>
        <v>9.0</v>
      </c>
      <c r="K62" s="8">
        <v>39.0</v>
      </c>
      <c r="L62" s="8">
        <v>853.0</v>
      </c>
      <c r="M62" s="8">
        <f t="shared" si="3"/>
        <v>1279.5</v>
      </c>
      <c r="N62" s="8">
        <v>851.0</v>
      </c>
      <c r="O62" s="8">
        <f t="shared" si="4"/>
        <v>440.5</v>
      </c>
      <c r="P62" s="8">
        <f t="shared" si="5"/>
        <v>100.1</v>
      </c>
      <c r="Q62" s="9" t="s">
        <f>IF(Table2[[#This Row],[lead_time_days]]&lt;10,"On time","Late")</f>
        <v>25</v>
      </c>
      <c r="R62" t="s">
        <f>IF(Table2[[#This Row],[stock_on_hand]]&gt;700,"Overstock","FIne")</f>
        <v>39</v>
      </c>
    </row>
    <row r="63" ht="14.0">
      <c r="A63" s="5" t="s">
        <v>123</v>
      </c>
      <c r="B63" s="5" t="s">
        <v>28</v>
      </c>
      <c r="C63" s="5" t="s">
        <v>29</v>
      </c>
      <c r="D63" s="5" t="s">
        <v>30</v>
      </c>
      <c r="E63" s="5" t="s">
        <v>31</v>
      </c>
      <c r="F63" s="5" t="s">
        <v>32</v>
      </c>
      <c r="G63" s="5" t="s">
        <v>33</v>
      </c>
      <c r="H63" s="6">
        <f t="shared" si="0"/>
        <v>45180.0</v>
      </c>
      <c r="I63" s="6">
        <f t="shared" si="1"/>
        <v>45204.0</v>
      </c>
      <c r="J63" s="7">
        <f t="shared" si="2"/>
        <v>24.0</v>
      </c>
      <c r="K63" s="8">
        <v>39.0</v>
      </c>
      <c r="L63" s="8">
        <v>980.0</v>
      </c>
      <c r="M63" s="8">
        <f t="shared" si="3"/>
        <v>1470.0</v>
      </c>
      <c r="N63" s="8">
        <v>991.0</v>
      </c>
      <c r="O63" s="8">
        <f t="shared" si="4"/>
        <v>510.5</v>
      </c>
      <c r="P63" s="8">
        <f t="shared" si="5"/>
        <v>114.1</v>
      </c>
      <c r="Q63" s="9" t="s">
        <f>IF(Table2[[#This Row],[lead_time_days]]&lt;10,"On time","Late")</f>
        <v>43</v>
      </c>
      <c r="R63" t="s">
        <f>IF(Table2[[#This Row],[stock_on_hand]]&gt;700,"Overstock","FIne")</f>
        <v>39</v>
      </c>
    </row>
    <row r="64" ht="14.0">
      <c r="A64" s="5" t="s">
        <v>124</v>
      </c>
      <c r="B64" s="5" t="s">
        <v>35</v>
      </c>
      <c r="C64" s="5" t="s">
        <v>36</v>
      </c>
      <c r="D64" s="5" t="s">
        <v>37</v>
      </c>
      <c r="E64" s="5" t="s">
        <v>38</v>
      </c>
      <c r="F64" s="5" t="s">
        <v>23</v>
      </c>
      <c r="G64" s="5" t="s">
        <v>24</v>
      </c>
      <c r="H64" s="6">
        <f t="shared" si="0"/>
        <v>45058.0</v>
      </c>
      <c r="I64" s="6">
        <f t="shared" si="1"/>
        <v>45062.0</v>
      </c>
      <c r="J64" s="7">
        <f t="shared" si="2"/>
        <v>4.0</v>
      </c>
      <c r="K64" s="8">
        <v>1.0</v>
      </c>
      <c r="L64" s="8">
        <v>628.0</v>
      </c>
      <c r="M64" s="8">
        <f t="shared" si="3"/>
        <v>942.0</v>
      </c>
      <c r="N64" s="8">
        <v>548.0</v>
      </c>
      <c r="O64" s="8">
        <f t="shared" si="4"/>
        <v>289.0</v>
      </c>
      <c r="P64" s="8">
        <f t="shared" si="5"/>
        <v>69.8</v>
      </c>
      <c r="Q64" s="9" t="s">
        <f>IF(Table2[[#This Row],[lead_time_days]]&lt;10,"On time","Late")</f>
        <v>25</v>
      </c>
      <c r="R64" t="s">
        <f>IF(Table2[[#This Row],[stock_on_hand]]&gt;700,"Overstock","FIne")</f>
        <v>26</v>
      </c>
    </row>
    <row r="65" ht="14.0">
      <c r="A65" s="5" t="s">
        <v>125</v>
      </c>
      <c r="B65" s="5" t="s">
        <v>41</v>
      </c>
      <c r="C65" s="5" t="s">
        <v>42</v>
      </c>
      <c r="D65" s="5" t="s">
        <v>21</v>
      </c>
      <c r="E65" s="5" t="s">
        <v>22</v>
      </c>
      <c r="F65" s="5" t="s">
        <v>32</v>
      </c>
      <c r="G65" s="5" t="s">
        <v>33</v>
      </c>
      <c r="H65" s="6">
        <f t="shared" si="0"/>
        <v>44968.0</v>
      </c>
      <c r="I65" s="6">
        <f t="shared" si="1"/>
        <v>44990.0</v>
      </c>
      <c r="J65" s="7">
        <f t="shared" si="2"/>
        <v>22.0</v>
      </c>
      <c r="K65" s="8">
        <v>26.0</v>
      </c>
      <c r="L65" s="8">
        <v>774.0</v>
      </c>
      <c r="M65" s="8">
        <f t="shared" si="3"/>
        <v>1161.0</v>
      </c>
      <c r="N65" s="8">
        <v>912.0</v>
      </c>
      <c r="O65" s="8">
        <f t="shared" si="4"/>
        <v>471.0</v>
      </c>
      <c r="P65" s="8">
        <f t="shared" si="5"/>
        <v>106.2</v>
      </c>
      <c r="Q65" s="9" t="s">
        <f>IF(Table2[[#This Row],[lead_time_days]]&lt;10,"On time","Late")</f>
        <v>43</v>
      </c>
      <c r="R65" t="s">
        <f>IF(Table2[[#This Row],[stock_on_hand]]&gt;700,"Overstock","FIne")</f>
        <v>39</v>
      </c>
    </row>
    <row r="66" ht="14.0">
      <c r="A66" s="5" t="s">
        <v>126</v>
      </c>
      <c r="B66" s="5" t="s">
        <v>45</v>
      </c>
      <c r="C66" s="5" t="s">
        <v>46</v>
      </c>
      <c r="D66" s="5" t="s">
        <v>47</v>
      </c>
      <c r="E66" s="5" t="s">
        <v>38</v>
      </c>
      <c r="F66" s="5" t="s">
        <v>48</v>
      </c>
      <c r="G66" s="5" t="s">
        <v>49</v>
      </c>
      <c r="H66" s="6">
        <f t="shared" si="0"/>
        <v>45060.0</v>
      </c>
      <c r="I66" s="6">
        <f t="shared" si="1"/>
        <v>45065.0</v>
      </c>
      <c r="J66" s="7">
        <f t="shared" si="2"/>
        <v>5.0</v>
      </c>
      <c r="K66" s="8">
        <v>12.0</v>
      </c>
      <c r="L66" s="8">
        <v>749.0</v>
      </c>
      <c r="M66" s="8">
        <f t="shared" si="3"/>
        <v>1123.5</v>
      </c>
      <c r="N66" s="8">
        <v>978.0</v>
      </c>
      <c r="O66" s="8">
        <f t="shared" si="4"/>
        <v>504.0</v>
      </c>
      <c r="P66" s="8">
        <f t="shared" si="5"/>
        <v>112.8</v>
      </c>
      <c r="Q66" s="9" t="s">
        <f>IF(Table2[[#This Row],[lead_time_days]]&lt;10,"On time","Late")</f>
        <v>25</v>
      </c>
      <c r="R66" t="s">
        <f>IF(Table2[[#This Row],[stock_on_hand]]&gt;700,"Overstock","FIne")</f>
        <v>39</v>
      </c>
    </row>
    <row r="67" ht="14.0">
      <c r="A67" s="5" t="s">
        <v>127</v>
      </c>
      <c r="B67" s="5" t="s">
        <v>51</v>
      </c>
      <c r="C67" s="5" t="s">
        <v>52</v>
      </c>
      <c r="D67" s="5" t="s">
        <v>53</v>
      </c>
      <c r="E67" s="5" t="s">
        <v>31</v>
      </c>
      <c r="F67" s="5" t="s">
        <v>48</v>
      </c>
      <c r="G67" s="5" t="s">
        <v>49</v>
      </c>
      <c r="H67" s="6">
        <f t="shared" si="0"/>
        <v>45056.0</v>
      </c>
      <c r="I67" s="6">
        <f t="shared" si="1"/>
        <v>45075.0</v>
      </c>
      <c r="J67" s="7">
        <f t="shared" si="2"/>
        <v>19.0</v>
      </c>
      <c r="K67" s="8">
        <v>1.0</v>
      </c>
      <c r="L67" s="8">
        <v>935.0</v>
      </c>
      <c r="M67" s="8">
        <f t="shared" si="3"/>
        <v>1402.5</v>
      </c>
      <c r="N67" s="8">
        <v>551.0</v>
      </c>
      <c r="O67" s="8">
        <f t="shared" si="4"/>
        <v>290.5</v>
      </c>
      <c r="P67" s="8">
        <f t="shared" si="5"/>
        <v>70.1</v>
      </c>
      <c r="Q67" s="9" t="s">
        <f>IF(Table2[[#This Row],[lead_time_days]]&lt;10,"On time","Late")</f>
        <v>43</v>
      </c>
      <c r="R67" t="s">
        <f>IF(Table2[[#This Row],[stock_on_hand]]&gt;700,"Overstock","FIne")</f>
        <v>26</v>
      </c>
    </row>
    <row r="68" ht="14.0">
      <c r="A68" s="5" t="s">
        <v>128</v>
      </c>
      <c r="B68" s="5" t="s">
        <v>55</v>
      </c>
      <c r="C68" s="5" t="s">
        <v>56</v>
      </c>
      <c r="D68" s="5" t="s">
        <v>57</v>
      </c>
      <c r="E68" s="5" t="s">
        <v>38</v>
      </c>
      <c r="F68" s="5" t="s">
        <v>32</v>
      </c>
      <c r="G68" s="5" t="s">
        <v>33</v>
      </c>
      <c r="H68" s="6">
        <f t="shared" si="0"/>
        <v>45027.0</v>
      </c>
      <c r="I68" s="6">
        <f t="shared" si="1"/>
        <v>45035.0</v>
      </c>
      <c r="J68" s="7">
        <f t="shared" si="2"/>
        <v>8.0</v>
      </c>
      <c r="K68" s="8">
        <v>15.0</v>
      </c>
      <c r="L68" s="8">
        <v>577.0</v>
      </c>
      <c r="M68" s="8">
        <f t="shared" si="3"/>
        <v>865.5</v>
      </c>
      <c r="N68" s="8">
        <v>649.0</v>
      </c>
      <c r="O68" s="8">
        <f t="shared" si="4"/>
        <v>339.5</v>
      </c>
      <c r="P68" s="8">
        <f t="shared" si="5"/>
        <v>79.9</v>
      </c>
      <c r="Q68" s="9" t="s">
        <f>IF(Table2[[#This Row],[lead_time_days]]&lt;10,"On time","Late")</f>
        <v>25</v>
      </c>
      <c r="R68" t="s">
        <f>IF(Table2[[#This Row],[stock_on_hand]]&gt;700,"Overstock","FIne")</f>
        <v>26</v>
      </c>
    </row>
    <row r="69" ht="14.0">
      <c r="A69" s="5" t="s">
        <v>129</v>
      </c>
      <c r="B69" s="5" t="s">
        <v>59</v>
      </c>
      <c r="C69" s="5" t="s">
        <v>60</v>
      </c>
      <c r="D69" s="5" t="s">
        <v>61</v>
      </c>
      <c r="E69" s="5" t="s">
        <v>62</v>
      </c>
      <c r="F69" s="5" t="s">
        <v>63</v>
      </c>
      <c r="G69" s="5" t="s">
        <v>64</v>
      </c>
      <c r="H69" s="6">
        <f t="shared" si="0"/>
        <v>45112.0</v>
      </c>
      <c r="I69" s="6">
        <f t="shared" si="1"/>
        <v>45114.0</v>
      </c>
      <c r="J69" s="7">
        <f t="shared" si="2"/>
        <v>2.0</v>
      </c>
      <c r="K69" s="8">
        <v>97.0</v>
      </c>
      <c r="L69" s="8">
        <v>938.0</v>
      </c>
      <c r="M69" s="8">
        <f t="shared" si="3"/>
        <v>1407.0</v>
      </c>
      <c r="N69" s="8">
        <v>896.0</v>
      </c>
      <c r="O69" s="8">
        <f t="shared" si="4"/>
        <v>463.0</v>
      </c>
      <c r="P69" s="8">
        <f t="shared" si="5"/>
        <v>104.6</v>
      </c>
      <c r="Q69" s="9" t="s">
        <f>IF(Table2[[#This Row],[lead_time_days]]&lt;10,"On time","Late")</f>
        <v>25</v>
      </c>
      <c r="R69" t="s">
        <f>IF(Table2[[#This Row],[stock_on_hand]]&gt;700,"Overstock","FIne")</f>
        <v>39</v>
      </c>
    </row>
    <row r="70" ht="14.0">
      <c r="A70" s="5" t="s">
        <v>130</v>
      </c>
      <c r="B70" s="5" t="s">
        <v>66</v>
      </c>
      <c r="C70" s="5" t="s">
        <v>67</v>
      </c>
      <c r="D70" s="5" t="s">
        <v>68</v>
      </c>
      <c r="E70" s="5" t="s">
        <v>38</v>
      </c>
      <c r="F70" s="5" t="s">
        <v>63</v>
      </c>
      <c r="G70" s="5" t="s">
        <v>64</v>
      </c>
      <c r="H70" s="6">
        <f t="shared" si="0"/>
        <v>44980.0</v>
      </c>
      <c r="I70" s="6">
        <f t="shared" si="1"/>
        <v>44993.0</v>
      </c>
      <c r="J70" s="7">
        <f t="shared" si="2"/>
        <v>13.0</v>
      </c>
      <c r="K70" s="8">
        <v>50.0</v>
      </c>
      <c r="L70" s="8">
        <v>604.0</v>
      </c>
      <c r="M70" s="8">
        <f t="shared" si="3"/>
        <v>906.0</v>
      </c>
      <c r="N70" s="8">
        <v>775.0</v>
      </c>
      <c r="O70" s="8">
        <f t="shared" si="4"/>
        <v>402.5</v>
      </c>
      <c r="P70" s="8">
        <f t="shared" si="5"/>
        <v>92.5</v>
      </c>
      <c r="Q70" s="9" t="s">
        <f>IF(Table2[[#This Row],[lead_time_days]]&lt;10,"On time","Late")</f>
        <v>43</v>
      </c>
      <c r="R70" t="s">
        <f>IF(Table2[[#This Row],[stock_on_hand]]&gt;700,"Overstock","FIne")</f>
        <v>39</v>
      </c>
    </row>
    <row r="71" ht="14.0">
      <c r="A71" s="5" t="s">
        <v>131</v>
      </c>
      <c r="B71" s="5" t="s">
        <v>70</v>
      </c>
      <c r="C71" s="5" t="s">
        <v>71</v>
      </c>
      <c r="D71" s="5" t="s">
        <v>21</v>
      </c>
      <c r="E71" s="5" t="s">
        <v>22</v>
      </c>
      <c r="F71" s="5" t="s">
        <v>32</v>
      </c>
      <c r="G71" s="5" t="s">
        <v>33</v>
      </c>
      <c r="H71" s="6">
        <f t="shared" si="0"/>
        <v>45157.0</v>
      </c>
      <c r="I71" s="6">
        <f t="shared" si="1"/>
        <v>45159.0</v>
      </c>
      <c r="J71" s="7">
        <f t="shared" si="2"/>
        <v>2.0</v>
      </c>
      <c r="K71" s="8">
        <v>16.0</v>
      </c>
      <c r="L71" s="8">
        <v>809.0</v>
      </c>
      <c r="M71" s="8">
        <f t="shared" si="3"/>
        <v>1213.5</v>
      </c>
      <c r="N71" s="8">
        <v>524.0</v>
      </c>
      <c r="O71" s="8">
        <f t="shared" si="4"/>
        <v>277.0</v>
      </c>
      <c r="P71" s="8">
        <f t="shared" si="5"/>
        <v>67.4</v>
      </c>
      <c r="Q71" s="9" t="s">
        <f>IF(Table2[[#This Row],[lead_time_days]]&lt;10,"On time","Late")</f>
        <v>25</v>
      </c>
      <c r="R71" t="s">
        <f>IF(Table2[[#This Row],[stock_on_hand]]&gt;700,"Overstock","FIne")</f>
        <v>26</v>
      </c>
    </row>
    <row r="72" ht="14.0">
      <c r="A72" s="5" t="s">
        <v>132</v>
      </c>
      <c r="B72" s="5" t="s">
        <v>19</v>
      </c>
      <c r="C72" s="5" t="s">
        <v>20</v>
      </c>
      <c r="D72" s="5" t="s">
        <v>21</v>
      </c>
      <c r="E72" s="5" t="s">
        <v>22</v>
      </c>
      <c r="F72" s="5" t="s">
        <v>23</v>
      </c>
      <c r="G72" s="5" t="s">
        <v>24</v>
      </c>
      <c r="H72" s="6">
        <f t="shared" si="0"/>
        <v>44932.0</v>
      </c>
      <c r="I72" s="6">
        <f t="shared" si="1"/>
        <v>44953.0</v>
      </c>
      <c r="J72" s="7">
        <f t="shared" si="2"/>
        <v>21.0</v>
      </c>
      <c r="K72" s="8">
        <v>70.0</v>
      </c>
      <c r="L72" s="8">
        <v>871.0</v>
      </c>
      <c r="M72" s="8">
        <f t="shared" si="3"/>
        <v>1306.5</v>
      </c>
      <c r="N72" s="8">
        <v>777.0</v>
      </c>
      <c r="O72" s="8">
        <f t="shared" si="4"/>
        <v>403.5</v>
      </c>
      <c r="P72" s="8">
        <f t="shared" si="5"/>
        <v>92.7</v>
      </c>
      <c r="Q72" s="9" t="s">
        <f>IF(Table2[[#This Row],[lead_time_days]]&lt;10,"On time","Late")</f>
        <v>43</v>
      </c>
      <c r="R72" t="s">
        <f>IF(Table2[[#This Row],[stock_on_hand]]&gt;700,"Overstock","FIne")</f>
        <v>39</v>
      </c>
    </row>
    <row r="73" ht="14.0">
      <c r="A73" s="5" t="s">
        <v>133</v>
      </c>
      <c r="B73" s="5" t="s">
        <v>28</v>
      </c>
      <c r="C73" s="5" t="s">
        <v>29</v>
      </c>
      <c r="D73" s="5" t="s">
        <v>30</v>
      </c>
      <c r="E73" s="5" t="s">
        <v>31</v>
      </c>
      <c r="F73" s="5" t="s">
        <v>32</v>
      </c>
      <c r="G73" s="5" t="s">
        <v>33</v>
      </c>
      <c r="H73" s="6">
        <f t="shared" si="0"/>
        <v>45276.0</v>
      </c>
      <c r="I73" s="6">
        <f t="shared" si="1"/>
        <v>45286.0</v>
      </c>
      <c r="J73" s="7">
        <f t="shared" si="2"/>
        <v>10.0</v>
      </c>
      <c r="K73" s="8">
        <v>2.0</v>
      </c>
      <c r="L73" s="8">
        <v>874.0</v>
      </c>
      <c r="M73" s="8">
        <f t="shared" si="3"/>
        <v>1311.0</v>
      </c>
      <c r="N73" s="8">
        <v>570.0</v>
      </c>
      <c r="O73" s="8">
        <f t="shared" si="4"/>
        <v>300.0</v>
      </c>
      <c r="P73" s="8">
        <f t="shared" si="5"/>
        <v>72.0</v>
      </c>
      <c r="Q73" s="9" t="s">
        <f>IF(Table2[[#This Row],[lead_time_days]]&lt;10,"On time","Late")</f>
        <v>43</v>
      </c>
      <c r="R73" t="s">
        <f>IF(Table2[[#This Row],[stock_on_hand]]&gt;700,"Overstock","FIne")</f>
        <v>26</v>
      </c>
    </row>
    <row r="74" ht="14.0">
      <c r="A74" s="5" t="s">
        <v>134</v>
      </c>
      <c r="B74" s="5" t="s">
        <v>35</v>
      </c>
      <c r="C74" s="5" t="s">
        <v>36</v>
      </c>
      <c r="D74" s="5" t="s">
        <v>37</v>
      </c>
      <c r="E74" s="5" t="s">
        <v>38</v>
      </c>
      <c r="F74" s="5" t="s">
        <v>23</v>
      </c>
      <c r="G74" s="5" t="s">
        <v>24</v>
      </c>
      <c r="H74" s="6">
        <f t="shared" si="0"/>
        <v>45227.0</v>
      </c>
      <c r="I74" s="6">
        <f t="shared" si="1"/>
        <v>45245.0</v>
      </c>
      <c r="J74" s="7">
        <f t="shared" si="2"/>
        <v>18.0</v>
      </c>
      <c r="K74" s="8">
        <v>34.0</v>
      </c>
      <c r="L74" s="8">
        <v>647.0</v>
      </c>
      <c r="M74" s="8">
        <f t="shared" si="3"/>
        <v>970.5</v>
      </c>
      <c r="N74" s="8">
        <v>567.0</v>
      </c>
      <c r="O74" s="8">
        <f t="shared" si="4"/>
        <v>298.5</v>
      </c>
      <c r="P74" s="8">
        <f t="shared" si="5"/>
        <v>71.7</v>
      </c>
      <c r="Q74" s="9" t="s">
        <f>IF(Table2[[#This Row],[lead_time_days]]&lt;10,"On time","Late")</f>
        <v>43</v>
      </c>
      <c r="R74" t="s">
        <f>IF(Table2[[#This Row],[stock_on_hand]]&gt;700,"Overstock","FIne")</f>
        <v>26</v>
      </c>
    </row>
    <row r="75" ht="14.0">
      <c r="A75" s="5" t="s">
        <v>135</v>
      </c>
      <c r="B75" s="5" t="s">
        <v>41</v>
      </c>
      <c r="C75" s="5" t="s">
        <v>42</v>
      </c>
      <c r="D75" s="5" t="s">
        <v>21</v>
      </c>
      <c r="E75" s="5" t="s">
        <v>22</v>
      </c>
      <c r="F75" s="5" t="s">
        <v>32</v>
      </c>
      <c r="G75" s="5" t="s">
        <v>33</v>
      </c>
      <c r="H75" s="6">
        <f t="shared" si="0"/>
        <v>45192.0</v>
      </c>
      <c r="I75" s="6">
        <f t="shared" si="1"/>
        <v>45197.0</v>
      </c>
      <c r="J75" s="7">
        <f t="shared" si="2"/>
        <v>5.0</v>
      </c>
      <c r="K75" s="8">
        <v>43.0</v>
      </c>
      <c r="L75" s="8">
        <v>984.0</v>
      </c>
      <c r="M75" s="8">
        <f t="shared" si="3"/>
        <v>1476.0</v>
      </c>
      <c r="N75" s="8">
        <v>515.0</v>
      </c>
      <c r="O75" s="8">
        <f t="shared" si="4"/>
        <v>272.5</v>
      </c>
      <c r="P75" s="8">
        <f t="shared" si="5"/>
        <v>66.5</v>
      </c>
      <c r="Q75" s="9" t="s">
        <f>IF(Table2[[#This Row],[lead_time_days]]&lt;10,"On time","Late")</f>
        <v>25</v>
      </c>
      <c r="R75" t="s">
        <f>IF(Table2[[#This Row],[stock_on_hand]]&gt;700,"Overstock","FIne")</f>
        <v>26</v>
      </c>
    </row>
    <row r="76" ht="14.0">
      <c r="A76" s="5" t="s">
        <v>136</v>
      </c>
      <c r="B76" s="5" t="s">
        <v>45</v>
      </c>
      <c r="C76" s="5" t="s">
        <v>46</v>
      </c>
      <c r="D76" s="5" t="s">
        <v>47</v>
      </c>
      <c r="E76" s="5" t="s">
        <v>38</v>
      </c>
      <c r="F76" s="5" t="s">
        <v>48</v>
      </c>
      <c r="G76" s="5" t="s">
        <v>49</v>
      </c>
      <c r="H76" s="6">
        <f t="shared" si="0"/>
        <v>45123.0</v>
      </c>
      <c r="I76" s="6">
        <f t="shared" si="1"/>
        <v>45128.0</v>
      </c>
      <c r="J76" s="7">
        <f t="shared" si="2"/>
        <v>5.0</v>
      </c>
      <c r="K76" s="8">
        <v>64.0</v>
      </c>
      <c r="L76" s="8">
        <v>832.0</v>
      </c>
      <c r="M76" s="8">
        <f t="shared" si="3"/>
        <v>1248.0</v>
      </c>
      <c r="N76" s="8">
        <v>832.0</v>
      </c>
      <c r="O76" s="8">
        <f t="shared" si="4"/>
        <v>431.0</v>
      </c>
      <c r="P76" s="8">
        <f t="shared" si="5"/>
        <v>98.2</v>
      </c>
      <c r="Q76" s="9" t="s">
        <f>IF(Table2[[#This Row],[lead_time_days]]&lt;10,"On time","Late")</f>
        <v>25</v>
      </c>
      <c r="R76" t="s">
        <f>IF(Table2[[#This Row],[stock_on_hand]]&gt;700,"Overstock","FIne")</f>
        <v>39</v>
      </c>
    </row>
    <row r="77" ht="14.0">
      <c r="A77" s="5" t="s">
        <v>137</v>
      </c>
      <c r="B77" s="5" t="s">
        <v>51</v>
      </c>
      <c r="C77" s="5" t="s">
        <v>52</v>
      </c>
      <c r="D77" s="5" t="s">
        <v>53</v>
      </c>
      <c r="E77" s="5" t="s">
        <v>31</v>
      </c>
      <c r="F77" s="5" t="s">
        <v>48</v>
      </c>
      <c r="G77" s="5" t="s">
        <v>49</v>
      </c>
      <c r="H77" s="6">
        <f t="shared" si="0"/>
        <v>45154.0</v>
      </c>
      <c r="I77" s="6">
        <f t="shared" si="1"/>
        <v>45159.0</v>
      </c>
      <c r="J77" s="7">
        <f t="shared" si="2"/>
        <v>5.0</v>
      </c>
      <c r="K77" s="8">
        <v>7.0</v>
      </c>
      <c r="L77" s="8">
        <v>691.0</v>
      </c>
      <c r="M77" s="8">
        <f t="shared" si="3"/>
        <v>1036.5</v>
      </c>
      <c r="N77" s="8">
        <v>519.0</v>
      </c>
      <c r="O77" s="8">
        <f t="shared" si="4"/>
        <v>274.5</v>
      </c>
      <c r="P77" s="8">
        <f t="shared" si="5"/>
        <v>66.9</v>
      </c>
      <c r="Q77" s="9" t="s">
        <f>IF(Table2[[#This Row],[lead_time_days]]&lt;10,"On time","Late")</f>
        <v>25</v>
      </c>
      <c r="R77" t="s">
        <f>IF(Table2[[#This Row],[stock_on_hand]]&gt;700,"Overstock","FIne")</f>
        <v>26</v>
      </c>
    </row>
    <row r="78" ht="14.0">
      <c r="A78" s="5" t="s">
        <v>138</v>
      </c>
      <c r="B78" s="5" t="s">
        <v>55</v>
      </c>
      <c r="C78" s="5" t="s">
        <v>56</v>
      </c>
      <c r="D78" s="5" t="s">
        <v>57</v>
      </c>
      <c r="E78" s="5" t="s">
        <v>38</v>
      </c>
      <c r="F78" s="5" t="s">
        <v>32</v>
      </c>
      <c r="G78" s="5" t="s">
        <v>33</v>
      </c>
      <c r="H78" s="6">
        <f t="shared" si="0"/>
        <v>45024.0</v>
      </c>
      <c r="I78" s="6">
        <f t="shared" si="1"/>
        <v>45035.0</v>
      </c>
      <c r="J78" s="7">
        <f t="shared" si="2"/>
        <v>11.0</v>
      </c>
      <c r="K78" s="8">
        <v>26.0</v>
      </c>
      <c r="L78" s="8">
        <v>554.0</v>
      </c>
      <c r="M78" s="8">
        <f t="shared" si="3"/>
        <v>831.0</v>
      </c>
      <c r="N78" s="8">
        <v>715.0</v>
      </c>
      <c r="O78" s="8">
        <f t="shared" si="4"/>
        <v>372.5</v>
      </c>
      <c r="P78" s="8">
        <f t="shared" si="5"/>
        <v>86.5</v>
      </c>
      <c r="Q78" s="9" t="s">
        <f>IF(Table2[[#This Row],[lead_time_days]]&lt;10,"On time","Late")</f>
        <v>43</v>
      </c>
      <c r="R78" t="s">
        <f>IF(Table2[[#This Row],[stock_on_hand]]&gt;700,"Overstock","FIne")</f>
        <v>39</v>
      </c>
    </row>
    <row r="79" ht="14.0">
      <c r="A79" s="5" t="s">
        <v>139</v>
      </c>
      <c r="B79" s="5" t="s">
        <v>59</v>
      </c>
      <c r="C79" s="5" t="s">
        <v>60</v>
      </c>
      <c r="D79" s="5" t="s">
        <v>61</v>
      </c>
      <c r="E79" s="5" t="s">
        <v>62</v>
      </c>
      <c r="F79" s="5" t="s">
        <v>63</v>
      </c>
      <c r="G79" s="5" t="s">
        <v>64</v>
      </c>
      <c r="H79" s="6">
        <f t="shared" si="0"/>
        <v>45215.0</v>
      </c>
      <c r="I79" s="6">
        <f t="shared" si="1"/>
        <v>45227.0</v>
      </c>
      <c r="J79" s="7">
        <f t="shared" si="2"/>
        <v>12.0</v>
      </c>
      <c r="K79" s="8">
        <v>36.0</v>
      </c>
      <c r="L79" s="8">
        <v>724.0</v>
      </c>
      <c r="M79" s="8">
        <f t="shared" si="3"/>
        <v>1086.0</v>
      </c>
      <c r="N79" s="8">
        <v>772.0</v>
      </c>
      <c r="O79" s="8">
        <f t="shared" si="4"/>
        <v>401.0</v>
      </c>
      <c r="P79" s="8">
        <f t="shared" si="5"/>
        <v>92.2</v>
      </c>
      <c r="Q79" s="9" t="s">
        <f>IF(Table2[[#This Row],[lead_time_days]]&lt;10,"On time","Late")</f>
        <v>43</v>
      </c>
      <c r="R79" t="s">
        <f>IF(Table2[[#This Row],[stock_on_hand]]&gt;700,"Overstock","FIne")</f>
        <v>39</v>
      </c>
    </row>
    <row r="80" ht="14.0">
      <c r="A80" s="5" t="s">
        <v>140</v>
      </c>
      <c r="B80" s="5" t="s">
        <v>66</v>
      </c>
      <c r="C80" s="5" t="s">
        <v>67</v>
      </c>
      <c r="D80" s="5" t="s">
        <v>68</v>
      </c>
      <c r="E80" s="5" t="s">
        <v>38</v>
      </c>
      <c r="F80" s="5" t="s">
        <v>63</v>
      </c>
      <c r="G80" s="5" t="s">
        <v>64</v>
      </c>
      <c r="H80" s="6">
        <f t="shared" si="0"/>
        <v>45228.0</v>
      </c>
      <c r="I80" s="6">
        <f t="shared" si="1"/>
        <v>45253.0</v>
      </c>
      <c r="J80" s="7">
        <f t="shared" si="2"/>
        <v>25.0</v>
      </c>
      <c r="K80" s="8">
        <v>46.0</v>
      </c>
      <c r="L80" s="8">
        <v>829.0</v>
      </c>
      <c r="M80" s="8">
        <f t="shared" si="3"/>
        <v>1243.5</v>
      </c>
      <c r="N80" s="8">
        <v>576.0</v>
      </c>
      <c r="O80" s="8">
        <f t="shared" si="4"/>
        <v>303.0</v>
      </c>
      <c r="P80" s="8">
        <f t="shared" si="5"/>
        <v>72.6</v>
      </c>
      <c r="Q80" s="9" t="s">
        <f>IF(Table2[[#This Row],[lead_time_days]]&lt;10,"On time","Late")</f>
        <v>43</v>
      </c>
      <c r="R80" t="s">
        <f>IF(Table2[[#This Row],[stock_on_hand]]&gt;700,"Overstock","FIne")</f>
        <v>26</v>
      </c>
    </row>
    <row r="81" ht="14.0">
      <c r="A81" s="5" t="s">
        <v>141</v>
      </c>
      <c r="B81" s="5" t="s">
        <v>70</v>
      </c>
      <c r="C81" s="5" t="s">
        <v>71</v>
      </c>
      <c r="D81" s="5" t="s">
        <v>21</v>
      </c>
      <c r="E81" s="5" t="s">
        <v>22</v>
      </c>
      <c r="F81" s="5" t="s">
        <v>32</v>
      </c>
      <c r="G81" s="5" t="s">
        <v>33</v>
      </c>
      <c r="H81" s="6">
        <f t="shared" si="0"/>
        <v>44997.0</v>
      </c>
      <c r="I81" s="6">
        <f t="shared" si="1"/>
        <v>45022.0</v>
      </c>
      <c r="J81" s="7">
        <f t="shared" si="2"/>
        <v>25.0</v>
      </c>
      <c r="K81" s="8">
        <v>32.0</v>
      </c>
      <c r="L81" s="8">
        <v>995.0</v>
      </c>
      <c r="M81" s="8">
        <f t="shared" si="3"/>
        <v>1492.5</v>
      </c>
      <c r="N81" s="8">
        <v>826.0</v>
      </c>
      <c r="O81" s="8">
        <f t="shared" si="4"/>
        <v>428.0</v>
      </c>
      <c r="P81" s="8">
        <f t="shared" si="5"/>
        <v>97.6</v>
      </c>
      <c r="Q81" s="9" t="s">
        <f>IF(Table2[[#This Row],[lead_time_days]]&lt;10,"On time","Late")</f>
        <v>43</v>
      </c>
      <c r="R81" t="s">
        <f>IF(Table2[[#This Row],[stock_on_hand]]&gt;700,"Overstock","FIne")</f>
        <v>39</v>
      </c>
    </row>
    <row r="82" ht="14.0">
      <c r="A82" s="5" t="s">
        <v>142</v>
      </c>
      <c r="B82" s="5" t="s">
        <v>19</v>
      </c>
      <c r="C82" s="5" t="s">
        <v>20</v>
      </c>
      <c r="D82" s="5" t="s">
        <v>21</v>
      </c>
      <c r="E82" s="5" t="s">
        <v>22</v>
      </c>
      <c r="F82" s="5" t="s">
        <v>23</v>
      </c>
      <c r="G82" s="5" t="s">
        <v>24</v>
      </c>
      <c r="H82" s="6">
        <f t="shared" si="0"/>
        <v>45276.0</v>
      </c>
      <c r="I82" s="6">
        <f t="shared" si="1"/>
        <v>45287.0</v>
      </c>
      <c r="J82" s="7">
        <f t="shared" si="2"/>
        <v>11.0</v>
      </c>
      <c r="K82" s="8">
        <v>34.0</v>
      </c>
      <c r="L82" s="8">
        <v>946.0</v>
      </c>
      <c r="M82" s="8">
        <f t="shared" si="3"/>
        <v>1419.0</v>
      </c>
      <c r="N82" s="8">
        <v>510.0</v>
      </c>
      <c r="O82" s="8">
        <f t="shared" si="4"/>
        <v>270.0</v>
      </c>
      <c r="P82" s="8">
        <f t="shared" si="5"/>
        <v>66.0</v>
      </c>
      <c r="Q82" s="9" t="s">
        <f>IF(Table2[[#This Row],[lead_time_days]]&lt;10,"On time","Late")</f>
        <v>43</v>
      </c>
      <c r="R82" t="s">
        <f>IF(Table2[[#This Row],[stock_on_hand]]&gt;700,"Overstock","FIne")</f>
        <v>26</v>
      </c>
    </row>
    <row r="83" ht="14.0">
      <c r="A83" s="5" t="s">
        <v>143</v>
      </c>
      <c r="B83" s="5" t="s">
        <v>28</v>
      </c>
      <c r="C83" s="5" t="s">
        <v>29</v>
      </c>
      <c r="D83" s="5" t="s">
        <v>30</v>
      </c>
      <c r="E83" s="5" t="s">
        <v>31</v>
      </c>
      <c r="F83" s="5" t="s">
        <v>32</v>
      </c>
      <c r="G83" s="5" t="s">
        <v>33</v>
      </c>
      <c r="H83" s="6">
        <f t="shared" si="0"/>
        <v>45077.0</v>
      </c>
      <c r="I83" s="6">
        <f t="shared" si="1"/>
        <v>45102.0</v>
      </c>
      <c r="J83" s="7">
        <f t="shared" si="2"/>
        <v>25.0</v>
      </c>
      <c r="K83" s="8">
        <v>20.0</v>
      </c>
      <c r="L83" s="8">
        <v>659.0</v>
      </c>
      <c r="M83" s="8">
        <f t="shared" si="3"/>
        <v>988.5</v>
      </c>
      <c r="N83" s="8">
        <v>866.0</v>
      </c>
      <c r="O83" s="8">
        <f t="shared" si="4"/>
        <v>448.0</v>
      </c>
      <c r="P83" s="8">
        <f t="shared" si="5"/>
        <v>101.6</v>
      </c>
      <c r="Q83" s="9" t="s">
        <f>IF(Table2[[#This Row],[lead_time_days]]&lt;10,"On time","Late")</f>
        <v>43</v>
      </c>
      <c r="R83" t="s">
        <f>IF(Table2[[#This Row],[stock_on_hand]]&gt;700,"Overstock","FIne")</f>
        <v>39</v>
      </c>
    </row>
    <row r="84" ht="14.0">
      <c r="A84" s="5" t="s">
        <v>144</v>
      </c>
      <c r="B84" s="5" t="s">
        <v>35</v>
      </c>
      <c r="C84" s="5" t="s">
        <v>36</v>
      </c>
      <c r="D84" s="5" t="s">
        <v>37</v>
      </c>
      <c r="E84" s="5" t="s">
        <v>38</v>
      </c>
      <c r="F84" s="5" t="s">
        <v>23</v>
      </c>
      <c r="G84" s="5" t="s">
        <v>24</v>
      </c>
      <c r="H84" s="6">
        <f t="shared" si="0"/>
        <v>44941.0</v>
      </c>
      <c r="I84" s="6">
        <f t="shared" si="1"/>
        <v>44947.0</v>
      </c>
      <c r="J84" s="7">
        <f t="shared" si="2"/>
        <v>6.0</v>
      </c>
      <c r="K84" s="8">
        <v>75.0</v>
      </c>
      <c r="L84" s="8">
        <v>931.0</v>
      </c>
      <c r="M84" s="8">
        <f t="shared" si="3"/>
        <v>1396.5</v>
      </c>
      <c r="N84" s="8">
        <v>982.0</v>
      </c>
      <c r="O84" s="8">
        <f t="shared" si="4"/>
        <v>506.0</v>
      </c>
      <c r="P84" s="8">
        <f t="shared" si="5"/>
        <v>113.2</v>
      </c>
      <c r="Q84" s="9" t="s">
        <f>IF(Table2[[#This Row],[lead_time_days]]&lt;10,"On time","Late")</f>
        <v>25</v>
      </c>
      <c r="R84" t="s">
        <f>IF(Table2[[#This Row],[stock_on_hand]]&gt;700,"Overstock","FIne")</f>
        <v>39</v>
      </c>
    </row>
    <row r="85" ht="14.0">
      <c r="A85" s="5" t="s">
        <v>145</v>
      </c>
      <c r="B85" s="5" t="s">
        <v>41</v>
      </c>
      <c r="C85" s="5" t="s">
        <v>42</v>
      </c>
      <c r="D85" s="5" t="s">
        <v>21</v>
      </c>
      <c r="E85" s="5" t="s">
        <v>22</v>
      </c>
      <c r="F85" s="5" t="s">
        <v>32</v>
      </c>
      <c r="G85" s="5" t="s">
        <v>33</v>
      </c>
      <c r="H85" s="6">
        <f t="shared" si="0"/>
        <v>44960.0</v>
      </c>
      <c r="I85" s="6">
        <f t="shared" si="1"/>
        <v>44964.0</v>
      </c>
      <c r="J85" s="7">
        <f t="shared" si="2"/>
        <v>4.0</v>
      </c>
      <c r="K85" s="8">
        <v>91.0</v>
      </c>
      <c r="L85" s="8">
        <v>870.0</v>
      </c>
      <c r="M85" s="8">
        <f t="shared" si="3"/>
        <v>1305.0</v>
      </c>
      <c r="N85" s="8">
        <v>817.0</v>
      </c>
      <c r="O85" s="8">
        <f t="shared" si="4"/>
        <v>423.5</v>
      </c>
      <c r="P85" s="8">
        <f t="shared" si="5"/>
        <v>96.7</v>
      </c>
      <c r="Q85" s="9" t="s">
        <f>IF(Table2[[#This Row],[lead_time_days]]&lt;10,"On time","Late")</f>
        <v>25</v>
      </c>
      <c r="R85" t="s">
        <f>IF(Table2[[#This Row],[stock_on_hand]]&gt;700,"Overstock","FIne")</f>
        <v>39</v>
      </c>
    </row>
    <row r="86" ht="14.0">
      <c r="A86" s="5" t="s">
        <v>146</v>
      </c>
      <c r="B86" s="5" t="s">
        <v>45</v>
      </c>
      <c r="C86" s="5" t="s">
        <v>46</v>
      </c>
      <c r="D86" s="5" t="s">
        <v>47</v>
      </c>
      <c r="E86" s="5" t="s">
        <v>38</v>
      </c>
      <c r="F86" s="5" t="s">
        <v>48</v>
      </c>
      <c r="G86" s="5" t="s">
        <v>49</v>
      </c>
      <c r="H86" s="6">
        <f t="shared" si="0"/>
        <v>45068.0</v>
      </c>
      <c r="I86" s="6">
        <f t="shared" si="1"/>
        <v>45071.0</v>
      </c>
      <c r="J86" s="7">
        <f t="shared" si="2"/>
        <v>3.0</v>
      </c>
      <c r="K86" s="8">
        <v>37.0</v>
      </c>
      <c r="L86" s="8">
        <v>718.0</v>
      </c>
      <c r="M86" s="8">
        <f t="shared" si="3"/>
        <v>1077.0</v>
      </c>
      <c r="N86" s="8">
        <v>637.0</v>
      </c>
      <c r="O86" s="8">
        <f t="shared" si="4"/>
        <v>333.5</v>
      </c>
      <c r="P86" s="8">
        <f t="shared" si="5"/>
        <v>78.7</v>
      </c>
      <c r="Q86" s="9" t="s">
        <f>IF(Table2[[#This Row],[lead_time_days]]&lt;10,"On time","Late")</f>
        <v>25</v>
      </c>
      <c r="R86" t="s">
        <f>IF(Table2[[#This Row],[stock_on_hand]]&gt;700,"Overstock","FIne")</f>
        <v>26</v>
      </c>
    </row>
    <row r="87" ht="14.0">
      <c r="A87" s="5" t="s">
        <v>147</v>
      </c>
      <c r="B87" s="5" t="s">
        <v>51</v>
      </c>
      <c r="C87" s="5" t="s">
        <v>52</v>
      </c>
      <c r="D87" s="5" t="s">
        <v>53</v>
      </c>
      <c r="E87" s="5" t="s">
        <v>31</v>
      </c>
      <c r="F87" s="5" t="s">
        <v>48</v>
      </c>
      <c r="G87" s="5" t="s">
        <v>49</v>
      </c>
      <c r="H87" s="6">
        <f t="shared" si="0"/>
        <v>45232.0</v>
      </c>
      <c r="I87" s="6">
        <f t="shared" si="1"/>
        <v>45247.0</v>
      </c>
      <c r="J87" s="7">
        <f t="shared" si="2"/>
        <v>15.0</v>
      </c>
      <c r="K87" s="8">
        <v>14.0</v>
      </c>
      <c r="L87" s="8">
        <v>769.0</v>
      </c>
      <c r="M87" s="8">
        <f t="shared" si="3"/>
        <v>1153.5</v>
      </c>
      <c r="N87" s="8">
        <v>818.0</v>
      </c>
      <c r="O87" s="8">
        <f t="shared" si="4"/>
        <v>424.0</v>
      </c>
      <c r="P87" s="8">
        <f t="shared" si="5"/>
        <v>96.8</v>
      </c>
      <c r="Q87" s="9" t="s">
        <f>IF(Table2[[#This Row],[lead_time_days]]&lt;10,"On time","Late")</f>
        <v>43</v>
      </c>
      <c r="R87" t="s">
        <f>IF(Table2[[#This Row],[stock_on_hand]]&gt;700,"Overstock","FIne")</f>
        <v>39</v>
      </c>
    </row>
    <row r="88" ht="14.0">
      <c r="A88" s="5" t="s">
        <v>148</v>
      </c>
      <c r="B88" s="5" t="s">
        <v>55</v>
      </c>
      <c r="C88" s="5" t="s">
        <v>56</v>
      </c>
      <c r="D88" s="5" t="s">
        <v>57</v>
      </c>
      <c r="E88" s="5" t="s">
        <v>38</v>
      </c>
      <c r="F88" s="5" t="s">
        <v>32</v>
      </c>
      <c r="G88" s="5" t="s">
        <v>33</v>
      </c>
      <c r="H88" s="6">
        <f t="shared" si="0"/>
        <v>44967.0</v>
      </c>
      <c r="I88" s="6">
        <f t="shared" si="1"/>
        <v>44987.0</v>
      </c>
      <c r="J88" s="7">
        <f t="shared" si="2"/>
        <v>20.0</v>
      </c>
      <c r="K88" s="8">
        <v>81.0</v>
      </c>
      <c r="L88" s="8">
        <v>555.0</v>
      </c>
      <c r="M88" s="8">
        <f t="shared" si="3"/>
        <v>832.5</v>
      </c>
      <c r="N88" s="8">
        <v>531.0</v>
      </c>
      <c r="O88" s="8">
        <f t="shared" si="4"/>
        <v>280.5</v>
      </c>
      <c r="P88" s="8">
        <f t="shared" si="5"/>
        <v>68.1</v>
      </c>
      <c r="Q88" s="9" t="s">
        <f>IF(Table2[[#This Row],[lead_time_days]]&lt;10,"On time","Late")</f>
        <v>43</v>
      </c>
      <c r="R88" t="s">
        <f>IF(Table2[[#This Row],[stock_on_hand]]&gt;700,"Overstock","FIne")</f>
        <v>26</v>
      </c>
    </row>
    <row r="89" ht="14.0">
      <c r="A89" s="5" t="s">
        <v>149</v>
      </c>
      <c r="B89" s="5" t="s">
        <v>59</v>
      </c>
      <c r="C89" s="5" t="s">
        <v>60</v>
      </c>
      <c r="D89" s="5" t="s">
        <v>61</v>
      </c>
      <c r="E89" s="5" t="s">
        <v>62</v>
      </c>
      <c r="F89" s="5" t="s">
        <v>63</v>
      </c>
      <c r="G89" s="5" t="s">
        <v>64</v>
      </c>
      <c r="H89" s="6">
        <f t="shared" si="0"/>
        <v>45230.0</v>
      </c>
      <c r="I89" s="6">
        <f t="shared" si="1"/>
        <v>45236.0</v>
      </c>
      <c r="J89" s="7">
        <f t="shared" si="2"/>
        <v>6.0</v>
      </c>
      <c r="K89" s="8">
        <v>41.0</v>
      </c>
      <c r="L89" s="8">
        <v>578.0</v>
      </c>
      <c r="M89" s="8">
        <f t="shared" si="3"/>
        <v>867.0</v>
      </c>
      <c r="N89" s="8">
        <v>537.0</v>
      </c>
      <c r="O89" s="8">
        <f t="shared" si="4"/>
        <v>283.5</v>
      </c>
      <c r="P89" s="8">
        <f t="shared" si="5"/>
        <v>68.7</v>
      </c>
      <c r="Q89" s="9" t="s">
        <f>IF(Table2[[#This Row],[lead_time_days]]&lt;10,"On time","Late")</f>
        <v>25</v>
      </c>
      <c r="R89" t="s">
        <f>IF(Table2[[#This Row],[stock_on_hand]]&gt;700,"Overstock","FIne")</f>
        <v>26</v>
      </c>
    </row>
    <row r="90" ht="14.0">
      <c r="A90" s="5" t="s">
        <v>150</v>
      </c>
      <c r="B90" s="5" t="s">
        <v>66</v>
      </c>
      <c r="C90" s="5" t="s">
        <v>67</v>
      </c>
      <c r="D90" s="5" t="s">
        <v>68</v>
      </c>
      <c r="E90" s="5" t="s">
        <v>38</v>
      </c>
      <c r="F90" s="5" t="s">
        <v>63</v>
      </c>
      <c r="G90" s="5" t="s">
        <v>64</v>
      </c>
      <c r="H90" s="6">
        <f t="shared" si="0"/>
        <v>45095.0</v>
      </c>
      <c r="I90" s="6">
        <f t="shared" si="1"/>
        <v>45112.0</v>
      </c>
      <c r="J90" s="7">
        <f t="shared" si="2"/>
        <v>17.0</v>
      </c>
      <c r="K90" s="8">
        <v>34.0</v>
      </c>
      <c r="L90" s="8">
        <v>963.0</v>
      </c>
      <c r="M90" s="8">
        <f t="shared" si="3"/>
        <v>1444.5</v>
      </c>
      <c r="N90" s="8">
        <v>889.0</v>
      </c>
      <c r="O90" s="8">
        <f t="shared" si="4"/>
        <v>459.5</v>
      </c>
      <c r="P90" s="8">
        <f t="shared" si="5"/>
        <v>103.9</v>
      </c>
      <c r="Q90" s="9" t="s">
        <f>IF(Table2[[#This Row],[lead_time_days]]&lt;10,"On time","Late")</f>
        <v>43</v>
      </c>
      <c r="R90" t="s">
        <f>IF(Table2[[#This Row],[stock_on_hand]]&gt;700,"Overstock","FIne")</f>
        <v>39</v>
      </c>
    </row>
    <row r="91" ht="14.0">
      <c r="A91" s="5" t="s">
        <v>151</v>
      </c>
      <c r="B91" s="5" t="s">
        <v>70</v>
      </c>
      <c r="C91" s="5" t="s">
        <v>71</v>
      </c>
      <c r="D91" s="5" t="s">
        <v>21</v>
      </c>
      <c r="E91" s="5" t="s">
        <v>22</v>
      </c>
      <c r="F91" s="5" t="s">
        <v>32</v>
      </c>
      <c r="G91" s="5" t="s">
        <v>33</v>
      </c>
      <c r="H91" s="6">
        <f t="shared" si="0"/>
        <v>45143.0</v>
      </c>
      <c r="I91" s="6">
        <f t="shared" si="1"/>
        <v>45146.0</v>
      </c>
      <c r="J91" s="7">
        <f t="shared" si="2"/>
        <v>3.0</v>
      </c>
      <c r="K91" s="8">
        <v>64.0</v>
      </c>
      <c r="L91" s="8">
        <v>546.0</v>
      </c>
      <c r="M91" s="8">
        <f t="shared" si="3"/>
        <v>819.0</v>
      </c>
      <c r="N91" s="8">
        <v>971.0</v>
      </c>
      <c r="O91" s="8">
        <f t="shared" si="4"/>
        <v>500.5</v>
      </c>
      <c r="P91" s="8">
        <f t="shared" si="5"/>
        <v>112.1</v>
      </c>
      <c r="Q91" s="9" t="s">
        <f>IF(Table2[[#This Row],[lead_time_days]]&lt;10,"On time","Late")</f>
        <v>25</v>
      </c>
      <c r="R91" t="s">
        <f>IF(Table2[[#This Row],[stock_on_hand]]&gt;700,"Overstock","FIne")</f>
        <v>39</v>
      </c>
    </row>
    <row r="92" ht="14.0">
      <c r="A92" s="5" t="s">
        <v>152</v>
      </c>
      <c r="B92" s="5" t="s">
        <v>19</v>
      </c>
      <c r="C92" s="5" t="s">
        <v>20</v>
      </c>
      <c r="D92" s="5" t="s">
        <v>21</v>
      </c>
      <c r="E92" s="5" t="s">
        <v>22</v>
      </c>
      <c r="F92" s="5" t="s">
        <v>23</v>
      </c>
      <c r="G92" s="5" t="s">
        <v>24</v>
      </c>
      <c r="H92" s="6">
        <f t="shared" si="0"/>
        <v>45134.0</v>
      </c>
      <c r="I92" s="6">
        <f t="shared" si="1"/>
        <v>45151.0</v>
      </c>
      <c r="J92" s="7">
        <f t="shared" si="2"/>
        <v>17.0</v>
      </c>
      <c r="K92" s="8">
        <v>78.0</v>
      </c>
      <c r="L92" s="8">
        <v>743.0</v>
      </c>
      <c r="M92" s="8">
        <f t="shared" si="3"/>
        <v>1114.5</v>
      </c>
      <c r="N92" s="8">
        <v>652.0</v>
      </c>
      <c r="O92" s="8">
        <f t="shared" si="4"/>
        <v>341.0</v>
      </c>
      <c r="P92" s="8">
        <f t="shared" si="5"/>
        <v>80.2</v>
      </c>
      <c r="Q92" s="9" t="s">
        <f>IF(Table2[[#This Row],[lead_time_days]]&lt;10,"On time","Late")</f>
        <v>43</v>
      </c>
      <c r="R92" t="s">
        <f>IF(Table2[[#This Row],[stock_on_hand]]&gt;700,"Overstock","FIne")</f>
        <v>26</v>
      </c>
    </row>
    <row r="93" ht="14.0">
      <c r="A93" s="5" t="s">
        <v>153</v>
      </c>
      <c r="B93" s="5" t="s">
        <v>28</v>
      </c>
      <c r="C93" s="5" t="s">
        <v>29</v>
      </c>
      <c r="D93" s="5" t="s">
        <v>30</v>
      </c>
      <c r="E93" s="5" t="s">
        <v>31</v>
      </c>
      <c r="F93" s="5" t="s">
        <v>32</v>
      </c>
      <c r="G93" s="5" t="s">
        <v>33</v>
      </c>
      <c r="H93" s="6">
        <f t="shared" si="0"/>
        <v>45176.0</v>
      </c>
      <c r="I93" s="6">
        <f t="shared" si="1"/>
        <v>45192.0</v>
      </c>
      <c r="J93" s="7">
        <f t="shared" si="2"/>
        <v>16.0</v>
      </c>
      <c r="K93" s="8">
        <v>26.0</v>
      </c>
      <c r="L93" s="8">
        <v>655.0</v>
      </c>
      <c r="M93" s="8">
        <f t="shared" si="3"/>
        <v>982.5</v>
      </c>
      <c r="N93" s="8">
        <v>999.0</v>
      </c>
      <c r="O93" s="8">
        <f t="shared" si="4"/>
        <v>514.5</v>
      </c>
      <c r="P93" s="8">
        <f t="shared" si="5"/>
        <v>114.9</v>
      </c>
      <c r="Q93" s="9" t="s">
        <f>IF(Table2[[#This Row],[lead_time_days]]&lt;10,"On time","Late")</f>
        <v>43</v>
      </c>
      <c r="R93" t="s">
        <f>IF(Table2[[#This Row],[stock_on_hand]]&gt;700,"Overstock","FIne")</f>
        <v>39</v>
      </c>
    </row>
    <row r="94" ht="14.0">
      <c r="A94" s="5" t="s">
        <v>154</v>
      </c>
      <c r="B94" s="5" t="s">
        <v>35</v>
      </c>
      <c r="C94" s="5" t="s">
        <v>36</v>
      </c>
      <c r="D94" s="5" t="s">
        <v>37</v>
      </c>
      <c r="E94" s="5" t="s">
        <v>38</v>
      </c>
      <c r="F94" s="5" t="s">
        <v>23</v>
      </c>
      <c r="G94" s="5" t="s">
        <v>24</v>
      </c>
      <c r="H94" s="6">
        <f t="shared" si="0"/>
        <v>45090.0</v>
      </c>
      <c r="I94" s="6">
        <f t="shared" si="1"/>
        <v>45107.0</v>
      </c>
      <c r="J94" s="7">
        <f t="shared" si="2"/>
        <v>17.0</v>
      </c>
      <c r="K94" s="8">
        <v>35.0</v>
      </c>
      <c r="L94" s="8">
        <v>861.0</v>
      </c>
      <c r="M94" s="8">
        <f t="shared" si="3"/>
        <v>1291.5</v>
      </c>
      <c r="N94" s="8">
        <v>841.0</v>
      </c>
      <c r="O94" s="8">
        <f t="shared" si="4"/>
        <v>435.5</v>
      </c>
      <c r="P94" s="8">
        <f t="shared" si="5"/>
        <v>99.1</v>
      </c>
      <c r="Q94" s="9" t="s">
        <f>IF(Table2[[#This Row],[lead_time_days]]&lt;10,"On time","Late")</f>
        <v>43</v>
      </c>
      <c r="R94" t="s">
        <f>IF(Table2[[#This Row],[stock_on_hand]]&gt;700,"Overstock","FIne")</f>
        <v>39</v>
      </c>
    </row>
    <row r="95" ht="14.0">
      <c r="A95" s="5" t="s">
        <v>155</v>
      </c>
      <c r="B95" s="5" t="s">
        <v>41</v>
      </c>
      <c r="C95" s="5" t="s">
        <v>42</v>
      </c>
      <c r="D95" s="5" t="s">
        <v>21</v>
      </c>
      <c r="E95" s="5" t="s">
        <v>22</v>
      </c>
      <c r="F95" s="5" t="s">
        <v>32</v>
      </c>
      <c r="G95" s="5" t="s">
        <v>33</v>
      </c>
      <c r="H95" s="6">
        <f t="shared" si="0"/>
        <v>45093.0</v>
      </c>
      <c r="I95" s="6">
        <f t="shared" si="1"/>
        <v>45110.0</v>
      </c>
      <c r="J95" s="7">
        <f t="shared" si="2"/>
        <v>17.0</v>
      </c>
      <c r="K95" s="8">
        <v>56.0</v>
      </c>
      <c r="L95" s="8">
        <v>902.0</v>
      </c>
      <c r="M95" s="8">
        <f t="shared" si="3"/>
        <v>1353.0</v>
      </c>
      <c r="N95" s="8">
        <v>695.0</v>
      </c>
      <c r="O95" s="8">
        <f t="shared" si="4"/>
        <v>362.5</v>
      </c>
      <c r="P95" s="8">
        <f t="shared" si="5"/>
        <v>84.5</v>
      </c>
      <c r="Q95" s="9" t="s">
        <f>IF(Table2[[#This Row],[lead_time_days]]&lt;10,"On time","Late")</f>
        <v>43</v>
      </c>
      <c r="R95" t="s">
        <f>IF(Table2[[#This Row],[stock_on_hand]]&gt;700,"Overstock","FIne")</f>
        <v>26</v>
      </c>
    </row>
    <row r="96" ht="14.0">
      <c r="A96" s="5" t="s">
        <v>156</v>
      </c>
      <c r="B96" s="5" t="s">
        <v>45</v>
      </c>
      <c r="C96" s="5" t="s">
        <v>46</v>
      </c>
      <c r="D96" s="5" t="s">
        <v>47</v>
      </c>
      <c r="E96" s="5" t="s">
        <v>38</v>
      </c>
      <c r="F96" s="5" t="s">
        <v>48</v>
      </c>
      <c r="G96" s="5" t="s">
        <v>49</v>
      </c>
      <c r="H96" s="6">
        <f t="shared" si="0"/>
        <v>44927.0</v>
      </c>
      <c r="I96" s="6">
        <f t="shared" si="1"/>
        <v>44950.0</v>
      </c>
      <c r="J96" s="7">
        <f t="shared" si="2"/>
        <v>23.0</v>
      </c>
      <c r="K96" s="8">
        <v>85.0</v>
      </c>
      <c r="L96" s="8">
        <v>835.0</v>
      </c>
      <c r="M96" s="8">
        <f t="shared" si="3"/>
        <v>1252.5</v>
      </c>
      <c r="N96" s="8">
        <v>895.0</v>
      </c>
      <c r="O96" s="8">
        <f t="shared" si="4"/>
        <v>462.5</v>
      </c>
      <c r="P96" s="8">
        <f t="shared" si="5"/>
        <v>104.5</v>
      </c>
      <c r="Q96" s="9" t="s">
        <f>IF(Table2[[#This Row],[lead_time_days]]&lt;10,"On time","Late")</f>
        <v>43</v>
      </c>
      <c r="R96" t="s">
        <f>IF(Table2[[#This Row],[stock_on_hand]]&gt;700,"Overstock","FIne")</f>
        <v>39</v>
      </c>
    </row>
    <row r="97" ht="14.0">
      <c r="A97" s="5" t="s">
        <v>157</v>
      </c>
      <c r="B97" s="5" t="s">
        <v>51</v>
      </c>
      <c r="C97" s="5" t="s">
        <v>52</v>
      </c>
      <c r="D97" s="5" t="s">
        <v>53</v>
      </c>
      <c r="E97" s="5" t="s">
        <v>31</v>
      </c>
      <c r="F97" s="5" t="s">
        <v>48</v>
      </c>
      <c r="G97" s="5" t="s">
        <v>49</v>
      </c>
      <c r="H97" s="6">
        <f t="shared" si="0"/>
        <v>44992.0</v>
      </c>
      <c r="I97" s="6">
        <f t="shared" si="1"/>
        <v>45006.0</v>
      </c>
      <c r="J97" s="7">
        <f t="shared" si="2"/>
        <v>14.0</v>
      </c>
      <c r="K97" s="8">
        <v>74.0</v>
      </c>
      <c r="L97" s="8">
        <v>878.0</v>
      </c>
      <c r="M97" s="8">
        <f t="shared" si="3"/>
        <v>1317.0</v>
      </c>
      <c r="N97" s="8">
        <v>926.0</v>
      </c>
      <c r="O97" s="8">
        <f t="shared" si="4"/>
        <v>478.0</v>
      </c>
      <c r="P97" s="8">
        <f t="shared" si="5"/>
        <v>107.6</v>
      </c>
      <c r="Q97" s="9" t="s">
        <f>IF(Table2[[#This Row],[lead_time_days]]&lt;10,"On time","Late")</f>
        <v>43</v>
      </c>
      <c r="R97" t="s">
        <f>IF(Table2[[#This Row],[stock_on_hand]]&gt;700,"Overstock","FIne")</f>
        <v>39</v>
      </c>
    </row>
    <row r="98" ht="14.0">
      <c r="A98" s="5" t="s">
        <v>158</v>
      </c>
      <c r="B98" s="5" t="s">
        <v>55</v>
      </c>
      <c r="C98" s="5" t="s">
        <v>56</v>
      </c>
      <c r="D98" s="5" t="s">
        <v>57</v>
      </c>
      <c r="E98" s="5" t="s">
        <v>38</v>
      </c>
      <c r="F98" s="5" t="s">
        <v>32</v>
      </c>
      <c r="G98" s="5" t="s">
        <v>33</v>
      </c>
      <c r="H98" s="6">
        <f t="shared" si="0"/>
        <v>45211.0</v>
      </c>
      <c r="I98" s="6">
        <f t="shared" si="1"/>
        <v>45228.0</v>
      </c>
      <c r="J98" s="7">
        <f t="shared" si="2"/>
        <v>17.0</v>
      </c>
      <c r="K98" s="8">
        <v>14.0</v>
      </c>
      <c r="L98" s="8">
        <v>996.0</v>
      </c>
      <c r="M98" s="8">
        <f t="shared" si="3"/>
        <v>1494.0</v>
      </c>
      <c r="N98" s="8">
        <v>985.0</v>
      </c>
      <c r="O98" s="8">
        <f t="shared" si="4"/>
        <v>507.5</v>
      </c>
      <c r="P98" s="8">
        <f t="shared" si="5"/>
        <v>113.5</v>
      </c>
      <c r="Q98" s="9" t="s">
        <f>IF(Table2[[#This Row],[lead_time_days]]&lt;10,"On time","Late")</f>
        <v>43</v>
      </c>
      <c r="R98" t="s">
        <f>IF(Table2[[#This Row],[stock_on_hand]]&gt;700,"Overstock","FIne")</f>
        <v>39</v>
      </c>
    </row>
    <row r="99" ht="14.0">
      <c r="A99" s="5" t="s">
        <v>159</v>
      </c>
      <c r="B99" s="5" t="s">
        <v>59</v>
      </c>
      <c r="C99" s="5" t="s">
        <v>60</v>
      </c>
      <c r="D99" s="5" t="s">
        <v>61</v>
      </c>
      <c r="E99" s="5" t="s">
        <v>62</v>
      </c>
      <c r="F99" s="5" t="s">
        <v>63</v>
      </c>
      <c r="G99" s="5" t="s">
        <v>64</v>
      </c>
      <c r="H99" s="6">
        <f t="shared" si="0"/>
        <v>45147.0</v>
      </c>
      <c r="I99" s="6">
        <f t="shared" si="1"/>
        <v>45166.0</v>
      </c>
      <c r="J99" s="7">
        <f t="shared" si="2"/>
        <v>19.0</v>
      </c>
      <c r="K99" s="8">
        <v>55.0</v>
      </c>
      <c r="L99" s="8">
        <v>639.0</v>
      </c>
      <c r="M99" s="8">
        <f t="shared" si="3"/>
        <v>958.5</v>
      </c>
      <c r="N99" s="8">
        <v>529.0</v>
      </c>
      <c r="O99" s="8">
        <f t="shared" si="4"/>
        <v>279.5</v>
      </c>
      <c r="P99" s="8">
        <f t="shared" si="5"/>
        <v>67.9</v>
      </c>
      <c r="Q99" s="9" t="s">
        <f>IF(Table2[[#This Row],[lead_time_days]]&lt;10,"On time","Late")</f>
        <v>43</v>
      </c>
      <c r="R99" t="s">
        <f>IF(Table2[[#This Row],[stock_on_hand]]&gt;700,"Overstock","FIne")</f>
        <v>26</v>
      </c>
    </row>
    <row r="100" ht="14.0">
      <c r="A100" s="5" t="s">
        <v>160</v>
      </c>
      <c r="B100" s="5" t="s">
        <v>66</v>
      </c>
      <c r="C100" s="5" t="s">
        <v>67</v>
      </c>
      <c r="D100" s="5" t="s">
        <v>68</v>
      </c>
      <c r="E100" s="5" t="s">
        <v>38</v>
      </c>
      <c r="F100" s="5" t="s">
        <v>63</v>
      </c>
      <c r="G100" s="5" t="s">
        <v>64</v>
      </c>
      <c r="H100" s="6">
        <f t="shared" si="0"/>
        <v>44971.0</v>
      </c>
      <c r="I100" s="6">
        <f t="shared" si="1"/>
        <v>44986.0</v>
      </c>
      <c r="J100" s="7">
        <f t="shared" si="2"/>
        <v>15.0</v>
      </c>
      <c r="K100" s="8">
        <v>34.0</v>
      </c>
      <c r="L100" s="8">
        <v>546.0</v>
      </c>
      <c r="M100" s="8">
        <f t="shared" si="3"/>
        <v>819.0</v>
      </c>
      <c r="N100" s="8">
        <v>750.0</v>
      </c>
      <c r="O100" s="8">
        <f t="shared" si="4"/>
        <v>390.0</v>
      </c>
      <c r="P100" s="8">
        <f t="shared" si="5"/>
        <v>90.0</v>
      </c>
      <c r="Q100" s="9" t="s">
        <f>IF(Table2[[#This Row],[lead_time_days]]&lt;10,"On time","Late")</f>
        <v>43</v>
      </c>
      <c r="R100" t="s">
        <f>IF(Table2[[#This Row],[stock_on_hand]]&gt;700,"Overstock","FIne")</f>
        <v>39</v>
      </c>
    </row>
    <row r="101" ht="14.0">
      <c r="A101" s="5" t="s">
        <v>161</v>
      </c>
      <c r="B101" s="5" t="s">
        <v>70</v>
      </c>
      <c r="C101" s="5" t="s">
        <v>71</v>
      </c>
      <c r="D101" s="5" t="s">
        <v>21</v>
      </c>
      <c r="E101" s="5" t="s">
        <v>22</v>
      </c>
      <c r="F101" s="5" t="s">
        <v>32</v>
      </c>
      <c r="G101" s="5" t="s">
        <v>33</v>
      </c>
      <c r="H101" s="6">
        <v>45916.0</v>
      </c>
      <c r="I101" s="6">
        <f t="shared" si="1"/>
        <v>45934.0</v>
      </c>
      <c r="J101" s="7">
        <f t="shared" si="2"/>
        <v>18.0</v>
      </c>
      <c r="K101" s="8">
        <v>4.0</v>
      </c>
      <c r="L101" s="8">
        <v>712.0</v>
      </c>
      <c r="M101" s="8">
        <f t="shared" si="3"/>
        <v>1068.0</v>
      </c>
      <c r="N101" s="8">
        <v>897.0</v>
      </c>
      <c r="O101" s="8">
        <f t="shared" si="4"/>
        <v>463.5</v>
      </c>
      <c r="P101" s="8">
        <f t="shared" si="5"/>
        <v>104.7</v>
      </c>
      <c r="Q101" s="9" t="s">
        <f>IF(Table2[[#This Row],[lead_time_days]]&lt;10,"On time","Late")</f>
        <v>43</v>
      </c>
      <c r="R101" t="s">
        <f>IF(Table2[[#This Row],[stock_on_hand]]&gt;700,"Overstock","FIne")</f>
        <v>39</v>
      </c>
    </row>
    <row r="102">
      <c r="H102" s="6"/>
      <c r="I102" s="6"/>
      <c r="J102" s="10"/>
      <c r="K102" s="8"/>
      <c r="L102" s="8"/>
      <c r="M102" s="8"/>
      <c r="N102" s="8"/>
      <c r="O102" s="8"/>
      <c r="P102" s="8"/>
      <c r="Q102" s="1"/>
    </row>
    <row r="103">
      <c r="G103">
        <f>COUNTIF(G2:G101,"North")</f>
        <v>40.0</v>
      </c>
      <c r="K103">
        <f>SUMIF(G2:G101,"South",K2:K101)</f>
        <v>877.0</v>
      </c>
      <c r="P103" s="1"/>
      <c r="R103" s="1"/>
    </row>
    <row r="104">
      <c r="B104" s="11" t="s">
        <v>162</v>
      </c>
      <c r="C104" s="11" t="s">
        <v>163</v>
      </c>
      <c r="D104" s="11" t="s">
        <v>164</v>
      </c>
      <c r="E104" s="11" t="s">
        <v>6</v>
      </c>
      <c r="F104" s="11" t="s">
        <v>165</v>
      </c>
      <c r="G104" s="12" t="s">
        <v>166</v>
      </c>
      <c r="H104" s="12" t="s">
        <v>167</v>
      </c>
      <c r="I104" s="12" t="s">
        <v>168</v>
      </c>
      <c r="J104" s="12" t="s">
        <v>169</v>
      </c>
      <c r="K104" s="9" t="s">
        <v>17</v>
      </c>
      <c r="L104" s="9" t="s">
        <v>170</v>
      </c>
      <c r="M104" s="9" t="s">
        <v>171</v>
      </c>
      <c r="Q104" s="1"/>
      <c r="R104" s="1"/>
      <c r="S104" s="1"/>
    </row>
    <row r="105">
      <c r="B105" s="9" t="s">
        <v>144</v>
      </c>
      <c r="C105" s="1" t="s">
        <f t="shared" ref="C105:C107" si="10">_xlfn.XLOOKUP(B105,A2:A101,C2:C101,"Doesn't Exist")</f>
        <v>36</v>
      </c>
      <c r="D105" s="1" t="s">
        <f t="shared" ref="D105:D128" si="11">_xlfn.XLOOKUP(B105,A2:A101,F2:F101,"Doesn't Exist")</f>
        <v>23</v>
      </c>
      <c r="E105" s="1" t="s">
        <f t="shared" ref="E105:E128" si="12">_xlfn.XLOOKUP(B105,A2:A101,G2:G101,"Doesn't Exist")</f>
        <v>24</v>
      </c>
      <c r="F105" s="1">
        <f>_xlfn.XLOOKUP(Table1[[#This Row],[Order_id]],A2:A101,N2:N101)</f>
        <v>982.0</v>
      </c>
      <c r="G105" s="13">
        <f t="shared" ref="G105:G128" si="14">_xlfn.XLOOKUP(B105,A2:A101,H2:H101,"Doesn't Exist")</f>
        <v>44941.0</v>
      </c>
      <c r="H105" s="13">
        <f t="shared" ref="H105:H128" si="15">_xlfn.XLOOKUP(B105,A2:A101,I2:I101,"Doesn't Exist")</f>
        <v>44947.0</v>
      </c>
      <c r="I105" s="14">
        <f t="shared" ref="I105:I128" si="16">NETWORKDAYS(G105,H105)</f>
        <v>5.0</v>
      </c>
      <c r="J105" s="2" t="s">
        <f>IF(Table1[[#This Row],[Leadtime]]&lt;14,"Late","On time ")</f>
        <v>43</v>
      </c>
      <c r="K105" s="9" t="s">
        <f>IF(Table1[[#This Row],[Units]]&gt;700,"Overstock","Appropriate")</f>
        <v>39</v>
      </c>
      <c r="L105" s="9" t="s">
        <f>IF(AND(Table1[[#This Row],[Region]]="North",Table1[[#This Row],[Units]]&gt;800,Table1[[#This Row],[Leadtime]]&gt;7),"Concern","Fine")</f>
        <v>172</v>
      </c>
      <c r="M105" s="9" t="s">
        <f>_xlfn.IFS(Table1[[#This Row],[Units]]&gt;800,"High",Table1[[#This Row],[Units]]&gt;300,"Medium",true,"Low")</f>
        <v>173</v>
      </c>
      <c r="O105" s="9" t="s">
        <v>174</v>
      </c>
      <c r="P105" s="9" t="s">
        <v>175</v>
      </c>
      <c r="Q105" s="1" t="s">
        <v>176</v>
      </c>
      <c r="T105" s="1"/>
    </row>
    <row r="106">
      <c r="B106" s="15" t="s">
        <v>161</v>
      </c>
      <c r="C106" s="1" t="s">
        <f t="shared" si="10"/>
        <v>71</v>
      </c>
      <c r="D106" s="1" t="s">
        <f t="shared" si="11"/>
        <v>32</v>
      </c>
      <c r="E106" s="1" t="s">
        <f t="shared" si="12"/>
        <v>33</v>
      </c>
      <c r="F106" s="1">
        <f>_xlfn.XLOOKUP(Table1[[#This Row],[Order_id]],A3:A102,N3:N102)</f>
        <v>897.0</v>
      </c>
      <c r="G106" s="13">
        <f t="shared" si="14"/>
        <v>45916.0</v>
      </c>
      <c r="H106" s="13">
        <f t="shared" si="15"/>
        <v>45934.0</v>
      </c>
      <c r="I106" s="14">
        <f t="shared" si="16"/>
        <v>14.0</v>
      </c>
      <c r="J106" s="2" t="s">
        <f>IF(Table1[[#This Row],[Leadtime]]&lt;14,"Late","On time ")</f>
        <v>177</v>
      </c>
      <c r="K106" s="9" t="s">
        <f>IF(Table1[[#This Row],[Units]]&gt;700,"Overstock","Appropriate")</f>
        <v>39</v>
      </c>
      <c r="L106" s="9" t="s">
        <f>IF(AND(Table1[[#This Row],[Region]]="North",Table1[[#This Row],[Units]]&gt;800,Table1[[#This Row],[Leadtime]]&gt;7),"Concern","Fine")</f>
        <v>178</v>
      </c>
      <c r="M106" s="9" t="s">
        <f>_xlfn.IFS(Table1[[#This Row],[Units]]&gt;800,"High",Table1[[#This Row],[Units]]&gt;300,"Medium",true,"Low")</f>
        <v>173</v>
      </c>
      <c r="O106" s="1" t="s">
        <v>179</v>
      </c>
      <c r="P106" s="1"/>
      <c r="Q106" s="1"/>
      <c r="T106" s="1"/>
    </row>
    <row r="107" ht="14.0">
      <c r="B107" s="5" t="s">
        <v>136</v>
      </c>
      <c r="C107" s="1" t="s">
        <f t="shared" si="10"/>
        <v>46</v>
      </c>
      <c r="D107" s="1" t="s">
        <f t="shared" si="11"/>
        <v>48</v>
      </c>
      <c r="E107" s="1" t="s">
        <f t="shared" si="12"/>
        <v>49</v>
      </c>
      <c r="F107" s="1">
        <f>_xlfn.XLOOKUP(Table1[[#This Row],[Order_id]],A4:A103,N4:N103)</f>
        <v>832.0</v>
      </c>
      <c r="G107" s="13">
        <f t="shared" si="14"/>
        <v>45123.0</v>
      </c>
      <c r="H107" s="13">
        <f t="shared" si="15"/>
        <v>45128.0</v>
      </c>
      <c r="I107" s="14">
        <f t="shared" si="16"/>
        <v>5.0</v>
      </c>
      <c r="J107" s="2" t="s">
        <f>IF(Table1[[#This Row],[Leadtime]]&lt;14,"Late","On time ")</f>
        <v>43</v>
      </c>
      <c r="K107" s="9" t="s">
        <f>IF(Table1[[#This Row],[Units]]&gt;700,"Overstock","Appropriate")</f>
        <v>39</v>
      </c>
      <c r="L107" s="9" t="s">
        <f>IF(AND(Table1[[#This Row],[Region]]="North",Table1[[#This Row],[Units]]&gt;800,Table1[[#This Row],[Leadtime]]&gt;7),"Concern","Fine")</f>
        <v>172</v>
      </c>
      <c r="M107" s="9" t="s">
        <f>_xlfn.IFS(Table1[[#This Row],[Units]]&gt;800,"High",Table1[[#This Row],[Units]]&gt;300,"Medium",true,"Low")</f>
        <v>173</v>
      </c>
      <c r="O107" s="9"/>
      <c r="P107" s="9"/>
      <c r="Q107" s="1"/>
      <c r="T107" s="1"/>
    </row>
    <row r="108" ht="14.0">
      <c r="B108" s="5" t="s">
        <v>137</v>
      </c>
      <c r="C108" s="1" t="s">
        <f>_xlfn.XLOOKUP(B108,A5:A104,C5:C103,"Doesn't Exist")</f>
        <v>180</v>
      </c>
      <c r="D108" s="1" t="s">
        <f t="shared" si="11"/>
        <v>48</v>
      </c>
      <c r="E108" s="1" t="s">
        <f t="shared" si="12"/>
        <v>49</v>
      </c>
      <c r="F108" s="1">
        <f>_xlfn.XLOOKUP(Table1[[#This Row],[Order_id]],A5:A104,N5:N104)</f>
        <v>519.0</v>
      </c>
      <c r="G108" s="13">
        <f t="shared" si="14"/>
        <v>45154.0</v>
      </c>
      <c r="H108" s="13">
        <f t="shared" si="15"/>
        <v>45159.0</v>
      </c>
      <c r="I108" s="14">
        <f t="shared" si="16"/>
        <v>4.0</v>
      </c>
      <c r="J108" s="2" t="s">
        <f>IF(Table1[[#This Row],[Leadtime]]&lt;14,"Late","On time ")</f>
        <v>43</v>
      </c>
      <c r="K108" s="9" t="s">
        <f>IF(Table1[[#This Row],[Units]]&gt;700,"Overstock","Appropriate")</f>
        <v>181</v>
      </c>
      <c r="L108" s="9" t="s">
        <f>IF(AND(Table1[[#This Row],[Region]]="North",Table1[[#This Row],[Units]]&gt;800,Table1[[#This Row],[Leadtime]]&gt;7),"Concern","Fine")</f>
        <v>172</v>
      </c>
      <c r="M108" s="9" t="s">
        <f>_xlfn.IFS(Table1[[#This Row],[Units]]&gt;800,"High",Table1[[#This Row],[Units]]&gt;300,"Medium",true,"Low")</f>
        <v>182</v>
      </c>
      <c r="O108" s="9" t="s">
        <v>183</v>
      </c>
      <c r="P108" s="9"/>
      <c r="Q108" s="1">
        <f>COUNTIFS(Table2[on_time],"On Time")/COUNTA(Table2[on_time])</f>
        <v>0.33</v>
      </c>
      <c r="T108" s="1"/>
    </row>
    <row r="109" ht="14.0">
      <c r="B109" s="5" t="s">
        <v>138</v>
      </c>
      <c r="C109" s="1" t="s">
        <f>_xlfn.XLOOKUP(B109,A6:A105,C6:C103,"Doesn't Exist")</f>
        <v>180</v>
      </c>
      <c r="D109" s="1" t="s">
        <f t="shared" si="11"/>
        <v>32</v>
      </c>
      <c r="E109" s="1" t="s">
        <f t="shared" si="12"/>
        <v>33</v>
      </c>
      <c r="F109" s="1">
        <f>_xlfn.XLOOKUP(Table1[[#This Row],[Order_id]],A6:A105,N6:N105)</f>
        <v>715.0</v>
      </c>
      <c r="G109" s="13">
        <f t="shared" si="14"/>
        <v>45024.0</v>
      </c>
      <c r="H109" s="13">
        <f t="shared" si="15"/>
        <v>45035.0</v>
      </c>
      <c r="I109" s="14">
        <f t="shared" si="16"/>
        <v>8.0</v>
      </c>
      <c r="J109" s="2" t="s">
        <f>IF(Table1[[#This Row],[Leadtime]]&lt;14,"Late","On time ")</f>
        <v>43</v>
      </c>
      <c r="K109" s="9" t="s">
        <f>IF(Table1[[#This Row],[Units]]&gt;700,"Overstock","Appropriate")</f>
        <v>39</v>
      </c>
      <c r="L109" s="9" t="s">
        <f>IF(AND(Table1[[#This Row],[Region]]="North",Table1[[#This Row],[Units]]&gt;800,Table1[[#This Row],[Leadtime]]&gt;7),"Concern","Fine")</f>
        <v>172</v>
      </c>
      <c r="M109" s="9" t="s">
        <f>_xlfn.IFS(Table1[[#This Row],[Units]]&gt;800,"High",Table1[[#This Row],[Units]]&gt;300,"Medium",true,"Low")</f>
        <v>182</v>
      </c>
      <c r="O109" s="9" t="s">
        <v>184</v>
      </c>
      <c r="P109" s="9"/>
      <c r="Q109" s="1">
        <f>COUNTIFS(Table2[on_time],"Late")/COUNTA(Table2[on_time])</f>
        <v>0.67</v>
      </c>
      <c r="T109" s="1"/>
    </row>
    <row r="110" ht="14.0">
      <c r="B110" s="5" t="s">
        <v>139</v>
      </c>
      <c r="C110" s="1" t="s">
        <f>_xlfn.XLOOKUP(B110,A7:A106,C7:C103,"Doesn't Exist")</f>
        <v>180</v>
      </c>
      <c r="D110" s="1" t="s">
        <f t="shared" si="11"/>
        <v>63</v>
      </c>
      <c r="E110" s="1" t="s">
        <f t="shared" si="12"/>
        <v>64</v>
      </c>
      <c r="F110" s="1">
        <f>_xlfn.XLOOKUP(Table1[[#This Row],[Order_id]],A7:A106,N7:N106)</f>
        <v>772.0</v>
      </c>
      <c r="G110" s="13">
        <f t="shared" si="14"/>
        <v>45215.0</v>
      </c>
      <c r="H110" s="13">
        <f t="shared" si="15"/>
        <v>45227.0</v>
      </c>
      <c r="I110" s="14">
        <f t="shared" si="16"/>
        <v>10.0</v>
      </c>
      <c r="J110" s="2" t="s">
        <f>IF(Table1[[#This Row],[Leadtime]]&lt;14,"Late","On time ")</f>
        <v>43</v>
      </c>
      <c r="K110" s="9" t="s">
        <f>IF(Table1[[#This Row],[Units]]&gt;700,"Overstock","Appropriate")</f>
        <v>39</v>
      </c>
      <c r="L110" s="9" t="s">
        <f>IF(AND(Table1[[#This Row],[Region]]="North",Table1[[#This Row],[Units]]&gt;800,Table1[[#This Row],[Leadtime]]&gt;7),"Concern","Fine")</f>
        <v>172</v>
      </c>
      <c r="M110" s="9" t="s">
        <f>_xlfn.IFS(Table1[[#This Row],[Units]]&gt;800,"High",Table1[[#This Row],[Units]]&gt;300,"Medium",true,"Low")</f>
        <v>182</v>
      </c>
      <c r="O110" s="9" t="s">
        <v>185</v>
      </c>
      <c r="P110" s="9"/>
      <c r="Q110" s="1">
        <f>AVERAGEIFS(Table2[lead_time_days],Table2[on_time],"Late")</f>
        <v>18.1044776119402</v>
      </c>
      <c r="T110" s="1"/>
    </row>
    <row r="111" ht="14.0">
      <c r="B111" s="5" t="s">
        <v>140</v>
      </c>
      <c r="C111" s="1" t="s">
        <f>_xlfn.XLOOKUP(B111,A8:A107,C8:C103,"Doesn't Exist")</f>
        <v>180</v>
      </c>
      <c r="D111" s="1" t="s">
        <f t="shared" si="11"/>
        <v>63</v>
      </c>
      <c r="E111" s="1" t="s">
        <f t="shared" si="12"/>
        <v>64</v>
      </c>
      <c r="F111" s="1">
        <f>_xlfn.XLOOKUP(Table1[[#This Row],[Order_id]],A8:A107,N8:N107)</f>
        <v>576.0</v>
      </c>
      <c r="G111" s="13">
        <f t="shared" si="14"/>
        <v>45228.0</v>
      </c>
      <c r="H111" s="13">
        <f t="shared" si="15"/>
        <v>45253.0</v>
      </c>
      <c r="I111" s="14">
        <f t="shared" si="16"/>
        <v>19.0</v>
      </c>
      <c r="J111" s="2" t="s">
        <f>IF(Table1[[#This Row],[Leadtime]]&lt;14,"Late","On time ")</f>
        <v>177</v>
      </c>
      <c r="K111" s="9" t="s">
        <f>IF(Table1[[#This Row],[Units]]&gt;700,"Overstock","Appropriate")</f>
        <v>181</v>
      </c>
      <c r="L111" s="9" t="s">
        <f>IF(AND(Table1[[#This Row],[Region]]="North",Table1[[#This Row],[Units]]&gt;800,Table1[[#This Row],[Leadtime]]&gt;7),"Concern","Fine")</f>
        <v>172</v>
      </c>
      <c r="M111" s="9" t="s">
        <f>_xlfn.IFS(Table1[[#This Row],[Units]]&gt;800,"High",Table1[[#This Row],[Units]]&gt;300,"Medium",true,"Low")</f>
        <v>182</v>
      </c>
      <c r="O111" s="9" t="s">
        <v>186</v>
      </c>
      <c r="P111" s="9"/>
      <c r="Q111" s="1">
        <f>SUMIFS(Table2[quantity_sold],Table2[quantity_sold],"&gt;20",Table2[cost_per_unit],"&gt;300",Table2[on_time],"Late",Table2[Volume],"Overstock")</f>
        <v>1726.0</v>
      </c>
      <c r="T111" s="1"/>
    </row>
    <row r="112" ht="14.0">
      <c r="B112" s="5" t="s">
        <v>141</v>
      </c>
      <c r="C112" s="1" t="s">
        <f>_xlfn.XLOOKUP(B112,A9:A108,C9:C103,"Doesn't Exist")</f>
        <v>180</v>
      </c>
      <c r="D112" s="1" t="s">
        <f t="shared" si="11"/>
        <v>32</v>
      </c>
      <c r="E112" s="1" t="s">
        <f t="shared" si="12"/>
        <v>33</v>
      </c>
      <c r="F112" s="1">
        <f>_xlfn.XLOOKUP(Table1[[#This Row],[Order_id]],A9:A108,N9:N108)</f>
        <v>826.0</v>
      </c>
      <c r="G112" s="13">
        <f t="shared" si="14"/>
        <v>44997.0</v>
      </c>
      <c r="H112" s="13">
        <f t="shared" si="15"/>
        <v>45022.0</v>
      </c>
      <c r="I112" s="14">
        <f t="shared" si="16"/>
        <v>19.0</v>
      </c>
      <c r="J112" s="2" t="s">
        <f>IF(Table1[[#This Row],[Leadtime]]&lt;14,"Late","On time ")</f>
        <v>177</v>
      </c>
      <c r="K112" s="9" t="s">
        <f>IF(Table1[[#This Row],[Units]]&gt;700,"Overstock","Appropriate")</f>
        <v>39</v>
      </c>
      <c r="L112" s="9" t="s">
        <f>IF(AND(Table1[[#This Row],[Region]]="North",Table1[[#This Row],[Units]]&gt;800,Table1[[#This Row],[Leadtime]]&gt;7),"Concern","Fine")</f>
        <v>178</v>
      </c>
      <c r="M112" s="9" t="s">
        <f>_xlfn.IFS(Table1[[#This Row],[Units]]&gt;800,"High",Table1[[#This Row],[Units]]&gt;300,"Medium",true,"Low")</f>
        <v>173</v>
      </c>
      <c r="R112" s="1"/>
      <c r="S112" s="1"/>
    </row>
    <row r="113" ht="14.0">
      <c r="B113" s="5" t="s">
        <v>142</v>
      </c>
      <c r="C113" s="1" t="s">
        <f>_xlfn.XLOOKUP(B113,A10:A109,C10:C103,"Doesn't Exist")</f>
        <v>180</v>
      </c>
      <c r="D113" s="1" t="s">
        <f t="shared" si="11"/>
        <v>23</v>
      </c>
      <c r="E113" s="1" t="s">
        <f t="shared" si="12"/>
        <v>24</v>
      </c>
      <c r="F113" s="1">
        <f>_xlfn.XLOOKUP(Table1[[#This Row],[Order_id]],A10:A109,N10:N109)</f>
        <v>510.0</v>
      </c>
      <c r="G113" s="13">
        <f t="shared" si="14"/>
        <v>45276.0</v>
      </c>
      <c r="H113" s="13">
        <f t="shared" si="15"/>
        <v>45287.0</v>
      </c>
      <c r="I113" s="14">
        <f t="shared" si="16"/>
        <v>8.0</v>
      </c>
      <c r="J113" s="2" t="s">
        <f>IF(Table1[[#This Row],[Leadtime]]&lt;14,"Late","On time ")</f>
        <v>43</v>
      </c>
      <c r="K113" s="9" t="s">
        <f>IF(Table1[[#This Row],[Units]]&gt;700,"Overstock","Appropriate")</f>
        <v>181</v>
      </c>
      <c r="L113" s="9" t="s">
        <f>IF(AND(Table1[[#This Row],[Region]]="North",Table1[[#This Row],[Units]]&gt;800,Table1[[#This Row],[Leadtime]]&gt;7),"Concern","Fine")</f>
        <v>172</v>
      </c>
      <c r="M113" s="9" t="s">
        <f>_xlfn.IFS(Table1[[#This Row],[Units]]&gt;800,"High",Table1[[#This Row],[Units]]&gt;300,"Medium",true,"Low")</f>
        <v>182</v>
      </c>
    </row>
    <row r="114" ht="14.0">
      <c r="B114" s="5" t="s">
        <v>143</v>
      </c>
      <c r="C114" s="1" t="s">
        <f>_xlfn.XLOOKUP(B114,A11:A110,C11:C103,"Doesn't Exist")</f>
        <v>180</v>
      </c>
      <c r="D114" s="1" t="s">
        <f t="shared" si="11"/>
        <v>32</v>
      </c>
      <c r="E114" s="1" t="s">
        <f t="shared" si="12"/>
        <v>33</v>
      </c>
      <c r="F114" s="1">
        <f>_xlfn.XLOOKUP(Table1[[#This Row],[Order_id]],A11:A110,N11:N110)</f>
        <v>866.0</v>
      </c>
      <c r="G114" s="13">
        <f t="shared" si="14"/>
        <v>45077.0</v>
      </c>
      <c r="H114" s="13">
        <f t="shared" si="15"/>
        <v>45102.0</v>
      </c>
      <c r="I114" s="14">
        <f t="shared" si="16"/>
        <v>18.0</v>
      </c>
      <c r="J114" s="2" t="s">
        <f>IF(Table1[[#This Row],[Leadtime]]&lt;14,"Late","On time ")</f>
        <v>177</v>
      </c>
      <c r="K114" s="9" t="s">
        <f>IF(Table1[[#This Row],[Units]]&gt;700,"Overstock","Appropriate")</f>
        <v>39</v>
      </c>
      <c r="L114" s="9" t="s">
        <f>IF(AND(Table1[[#This Row],[Region]]="North",Table1[[#This Row],[Units]]&gt;800,Table1[[#This Row],[Leadtime]]&gt;7),"Concern","Fine")</f>
        <v>178</v>
      </c>
      <c r="M114" s="9" t="s">
        <f>_xlfn.IFS(Table1[[#This Row],[Units]]&gt;800,"High",Table1[[#This Row],[Units]]&gt;300,"Medium",true,"Low")</f>
        <v>173</v>
      </c>
    </row>
    <row r="115" ht="14.0">
      <c r="B115" s="5" t="s">
        <v>144</v>
      </c>
      <c r="C115" s="1" t="s">
        <f>_xlfn.XLOOKUP(B115,A12:A111,C12:C103,"Doesn't Exist")</f>
        <v>180</v>
      </c>
      <c r="D115" s="1" t="s">
        <f t="shared" si="11"/>
        <v>23</v>
      </c>
      <c r="E115" s="1" t="s">
        <f t="shared" si="12"/>
        <v>24</v>
      </c>
      <c r="F115" s="1">
        <f>_xlfn.XLOOKUP(Table1[[#This Row],[Order_id]],A12:A111,N12:N111)</f>
        <v>982.0</v>
      </c>
      <c r="G115" s="13">
        <f t="shared" si="14"/>
        <v>44941.0</v>
      </c>
      <c r="H115" s="13">
        <f t="shared" si="15"/>
        <v>44947.0</v>
      </c>
      <c r="I115" s="14">
        <f t="shared" si="16"/>
        <v>5.0</v>
      </c>
      <c r="J115" s="2" t="s">
        <f>IF(Table1[[#This Row],[Leadtime]]&lt;14,"Late","On time ")</f>
        <v>43</v>
      </c>
      <c r="K115" s="9" t="s">
        <f>IF(Table1[[#This Row],[Units]]&gt;700,"Overstock","Appropriate")</f>
        <v>39</v>
      </c>
      <c r="L115" s="9" t="s">
        <f>IF(AND(Table1[[#This Row],[Region]]="North",Table1[[#This Row],[Units]]&gt;800,Table1[[#This Row],[Leadtime]]&gt;7),"Concern","Fine")</f>
        <v>172</v>
      </c>
      <c r="M115" s="9" t="s">
        <f>_xlfn.IFS(Table1[[#This Row],[Units]]&gt;800,"High",Table1[[#This Row],[Units]]&gt;300,"Medium",true,"Low")</f>
        <v>173</v>
      </c>
    </row>
    <row r="116" ht="14.0">
      <c r="B116" s="5" t="s">
        <v>145</v>
      </c>
      <c r="C116" s="1" t="s">
        <f>_xlfn.XLOOKUP(B116,A13:A112,C13:C103,"Doesn't Exist")</f>
        <v>180</v>
      </c>
      <c r="D116" s="1" t="s">
        <f t="shared" si="11"/>
        <v>32</v>
      </c>
      <c r="E116" s="1" t="s">
        <f t="shared" si="12"/>
        <v>33</v>
      </c>
      <c r="F116" s="1">
        <f>_xlfn.XLOOKUP(Table1[[#This Row],[Order_id]],A13:A112,N13:N112)</f>
        <v>817.0</v>
      </c>
      <c r="G116" s="13">
        <f t="shared" si="14"/>
        <v>44960.0</v>
      </c>
      <c r="H116" s="13">
        <f t="shared" si="15"/>
        <v>44964.0</v>
      </c>
      <c r="I116" s="14">
        <f t="shared" si="16"/>
        <v>3.0</v>
      </c>
      <c r="J116" s="2" t="s">
        <f>IF(Table1[[#This Row],[Leadtime]]&lt;14,"Late","On time ")</f>
        <v>43</v>
      </c>
      <c r="K116" s="9" t="s">
        <f>IF(Table1[[#This Row],[Units]]&gt;700,"Overstock","Appropriate")</f>
        <v>39</v>
      </c>
      <c r="L116" s="9" t="s">
        <f>IF(AND(Table1[[#This Row],[Region]]="North",Table1[[#This Row],[Units]]&gt;800,Table1[[#This Row],[Leadtime]]&gt;7),"Concern","Fine")</f>
        <v>172</v>
      </c>
      <c r="M116" s="9" t="s">
        <f>_xlfn.IFS(Table1[[#This Row],[Units]]&gt;800,"High",Table1[[#This Row],[Units]]&gt;300,"Medium",true,"Low")</f>
        <v>173</v>
      </c>
    </row>
    <row r="117" ht="14.0">
      <c r="B117" s="5" t="s">
        <v>146</v>
      </c>
      <c r="C117" s="1" t="s">
        <f>_xlfn.XLOOKUP(B117,A14:A113,C14:C103,"Doesn't Exist")</f>
        <v>180</v>
      </c>
      <c r="D117" s="1" t="s">
        <f t="shared" si="11"/>
        <v>48</v>
      </c>
      <c r="E117" s="1" t="s">
        <f t="shared" si="12"/>
        <v>49</v>
      </c>
      <c r="F117" s="1">
        <f>_xlfn.XLOOKUP(Table1[[#This Row],[Order_id]],A14:A113,N14:N113)</f>
        <v>637.0</v>
      </c>
      <c r="G117" s="13">
        <f t="shared" si="14"/>
        <v>45068.0</v>
      </c>
      <c r="H117" s="13">
        <f t="shared" si="15"/>
        <v>45071.0</v>
      </c>
      <c r="I117" s="14">
        <f t="shared" si="16"/>
        <v>4.0</v>
      </c>
      <c r="J117" s="2" t="s">
        <f>IF(Table1[[#This Row],[Leadtime]]&lt;14,"Late","On time ")</f>
        <v>43</v>
      </c>
      <c r="K117" s="9" t="s">
        <f>IF(Table1[[#This Row],[Units]]&gt;700,"Overstock","Appropriate")</f>
        <v>181</v>
      </c>
      <c r="L117" s="9" t="s">
        <f>IF(AND(Table1[[#This Row],[Region]]="North",Table1[[#This Row],[Units]]&gt;800,Table1[[#This Row],[Leadtime]]&gt;7),"Concern","Fine")</f>
        <v>172</v>
      </c>
      <c r="M117" s="9" t="s">
        <f>_xlfn.IFS(Table1[[#This Row],[Units]]&gt;800,"High",Table1[[#This Row],[Units]]&gt;300,"Medium",true,"Low")</f>
        <v>182</v>
      </c>
      <c r="R117" s="1"/>
    </row>
    <row r="118" ht="14.0">
      <c r="B118" s="5" t="s">
        <v>147</v>
      </c>
      <c r="C118" s="1" t="s">
        <f>_xlfn.XLOOKUP(B118,A15:A114,C15:C103,"Doesn't Exist")</f>
        <v>180</v>
      </c>
      <c r="D118" s="1" t="s">
        <f t="shared" si="11"/>
        <v>48</v>
      </c>
      <c r="E118" s="1" t="s">
        <f t="shared" si="12"/>
        <v>49</v>
      </c>
      <c r="F118" s="1">
        <f>_xlfn.XLOOKUP(Table1[[#This Row],[Order_id]],A15:A114,N15:N114)</f>
        <v>818.0</v>
      </c>
      <c r="G118" s="13">
        <f t="shared" si="14"/>
        <v>45232.0</v>
      </c>
      <c r="H118" s="13">
        <f t="shared" si="15"/>
        <v>45247.0</v>
      </c>
      <c r="I118" s="14">
        <f t="shared" si="16"/>
        <v>12.0</v>
      </c>
      <c r="J118" s="2" t="s">
        <f>IF(Table1[[#This Row],[Leadtime]]&lt;14,"Late","On time ")</f>
        <v>43</v>
      </c>
      <c r="K118" s="9" t="s">
        <f>IF(Table1[[#This Row],[Units]]&gt;700,"Overstock","Appropriate")</f>
        <v>39</v>
      </c>
      <c r="L118" s="9" t="s">
        <f>IF(AND(Table1[[#This Row],[Region]]="North",Table1[[#This Row],[Units]]&gt;800,Table1[[#This Row],[Leadtime]]&gt;7),"Concern","Fine")</f>
        <v>172</v>
      </c>
      <c r="M118" s="9" t="s">
        <f>_xlfn.IFS(Table1[[#This Row],[Units]]&gt;800,"High",Table1[[#This Row],[Units]]&gt;300,"Medium",true,"Low")</f>
        <v>173</v>
      </c>
      <c r="Q118" s="1"/>
      <c r="R118" s="9"/>
      <c r="S118" s="1"/>
    </row>
    <row r="119" ht="14.0">
      <c r="B119" s="5" t="s">
        <v>152</v>
      </c>
      <c r="C119" s="1" t="s">
        <f>_xlfn.XLOOKUP(B119,A16:A115,C16:C103,"Doesn't Exist")</f>
        <v>180</v>
      </c>
      <c r="D119" s="1" t="s">
        <f t="shared" si="11"/>
        <v>23</v>
      </c>
      <c r="E119" s="1" t="s">
        <f t="shared" si="12"/>
        <v>24</v>
      </c>
      <c r="F119" s="1">
        <f>_xlfn.XLOOKUP(Table1[[#This Row],[Order_id]],A16:A115,N16:N115)</f>
        <v>652.0</v>
      </c>
      <c r="G119" s="13">
        <f t="shared" si="14"/>
        <v>45134.0</v>
      </c>
      <c r="H119" s="13">
        <f t="shared" si="15"/>
        <v>45151.0</v>
      </c>
      <c r="I119" s="14">
        <f t="shared" si="16"/>
        <v>12.0</v>
      </c>
      <c r="J119" s="2" t="s">
        <f>IF(Table1[[#This Row],[Leadtime]]&lt;14,"Late","On time ")</f>
        <v>43</v>
      </c>
      <c r="K119" s="9" t="s">
        <f>IF(Table1[[#This Row],[Units]]&gt;700,"Overstock","Appropriate")</f>
        <v>181</v>
      </c>
      <c r="L119" s="9" t="s">
        <f>IF(AND(Table1[[#This Row],[Region]]="North",Table1[[#This Row],[Units]]&gt;800,Table1[[#This Row],[Leadtime]]&gt;7),"Concern","Fine")</f>
        <v>172</v>
      </c>
      <c r="M119" s="9" t="s">
        <f>_xlfn.IFS(Table1[[#This Row],[Units]]&gt;800,"High",Table1[[#This Row],[Units]]&gt;300,"Medium",true,"Low")</f>
        <v>182</v>
      </c>
      <c r="R119" s="1"/>
    </row>
    <row r="120" ht="14.0">
      <c r="B120" s="5" t="s">
        <v>153</v>
      </c>
      <c r="C120" s="1" t="s">
        <f>_xlfn.XLOOKUP(B120,A17:A116,C17:C103,"Doesn't Exist")</f>
        <v>180</v>
      </c>
      <c r="D120" s="1" t="s">
        <f t="shared" si="11"/>
        <v>32</v>
      </c>
      <c r="E120" s="1" t="s">
        <f t="shared" si="12"/>
        <v>33</v>
      </c>
      <c r="F120" s="1">
        <f>_xlfn.XLOOKUP(Table1[[#This Row],[Order_id]],A17:A116,N17:N116)</f>
        <v>999.0</v>
      </c>
      <c r="G120" s="13">
        <f t="shared" si="14"/>
        <v>45176.0</v>
      </c>
      <c r="H120" s="13">
        <f t="shared" si="15"/>
        <v>45192.0</v>
      </c>
      <c r="I120" s="14">
        <f t="shared" si="16"/>
        <v>12.0</v>
      </c>
      <c r="J120" s="2" t="s">
        <f>IF(Table1[[#This Row],[Leadtime]]&lt;14,"Late","On time ")</f>
        <v>43</v>
      </c>
      <c r="K120" s="9" t="s">
        <f>IF(Table1[[#This Row],[Units]]&gt;700,"Overstock","Appropriate")</f>
        <v>39</v>
      </c>
      <c r="L120" s="9" t="s">
        <f>IF(AND(Table1[[#This Row],[Region]]="North",Table1[[#This Row],[Units]]&gt;800,Table1[[#This Row],[Leadtime]]&gt;7),"Concern","Fine")</f>
        <v>178</v>
      </c>
      <c r="M120" s="9" t="s">
        <f>_xlfn.IFS(Table1[[#This Row],[Units]]&gt;800,"High",Table1[[#This Row],[Units]]&gt;300,"Medium",true,"Low")</f>
        <v>173</v>
      </c>
    </row>
    <row r="121" ht="14.0">
      <c r="B121" s="5" t="s">
        <v>154</v>
      </c>
      <c r="C121" s="1" t="s">
        <f>_xlfn.XLOOKUP(B121,A18:A117,C18:C103,"Doesn't Exist")</f>
        <v>180</v>
      </c>
      <c r="D121" s="1" t="s">
        <f t="shared" si="11"/>
        <v>23</v>
      </c>
      <c r="E121" s="1" t="s">
        <f t="shared" si="12"/>
        <v>24</v>
      </c>
      <c r="F121" s="1">
        <f>_xlfn.XLOOKUP(Table1[[#This Row],[Order_id]],A18:A117,N18:N117)</f>
        <v>841.0</v>
      </c>
      <c r="G121" s="13">
        <f t="shared" si="14"/>
        <v>45090.0</v>
      </c>
      <c r="H121" s="13">
        <f t="shared" si="15"/>
        <v>45107.0</v>
      </c>
      <c r="I121" s="14">
        <f t="shared" si="16"/>
        <v>14.0</v>
      </c>
      <c r="J121" s="2" t="s">
        <f>IF(Table1[[#This Row],[Leadtime]]&lt;14,"Late","On time ")</f>
        <v>177</v>
      </c>
      <c r="K121" s="9" t="s">
        <f>IF(Table1[[#This Row],[Units]]&gt;700,"Overstock","Appropriate")</f>
        <v>39</v>
      </c>
      <c r="L121" s="9" t="s">
        <f>IF(AND(Table1[[#This Row],[Region]]="North",Table1[[#This Row],[Units]]&gt;800,Table1[[#This Row],[Leadtime]]&gt;7),"Concern","Fine")</f>
        <v>172</v>
      </c>
      <c r="M121" s="9" t="s">
        <f>_xlfn.IFS(Table1[[#This Row],[Units]]&gt;800,"High",Table1[[#This Row],[Units]]&gt;300,"Medium",true,"Low")</f>
        <v>173</v>
      </c>
    </row>
    <row r="122" ht="14.0">
      <c r="B122" s="5" t="s">
        <v>155</v>
      </c>
      <c r="C122" s="1" t="s">
        <f>_xlfn.XLOOKUP(B122,A19:A118,C19:C103,"Doesn't Exist")</f>
        <v>180</v>
      </c>
      <c r="D122" s="1" t="s">
        <f t="shared" si="11"/>
        <v>32</v>
      </c>
      <c r="E122" s="1" t="s">
        <f t="shared" si="12"/>
        <v>33</v>
      </c>
      <c r="F122" s="1">
        <f>_xlfn.XLOOKUP(Table1[[#This Row],[Order_id]],A19:A118,N19:N118)</f>
        <v>695.0</v>
      </c>
      <c r="G122" s="13">
        <f t="shared" si="14"/>
        <v>45093.0</v>
      </c>
      <c r="H122" s="13">
        <f t="shared" si="15"/>
        <v>45110.0</v>
      </c>
      <c r="I122" s="14">
        <f t="shared" si="16"/>
        <v>12.0</v>
      </c>
      <c r="J122" s="2" t="s">
        <f>IF(Table1[[#This Row],[Leadtime]]&lt;14,"Late","On time ")</f>
        <v>43</v>
      </c>
      <c r="K122" s="9" t="s">
        <f>IF(Table1[[#This Row],[Units]]&gt;700,"Overstock","Appropriate")</f>
        <v>181</v>
      </c>
      <c r="L122" s="9" t="s">
        <f>IF(AND(Table1[[#This Row],[Region]]="North",Table1[[#This Row],[Units]]&gt;800,Table1[[#This Row],[Leadtime]]&gt;7),"Concern","Fine")</f>
        <v>172</v>
      </c>
      <c r="M122" s="9" t="s">
        <f>_xlfn.IFS(Table1[[#This Row],[Units]]&gt;800,"High",Table1[[#This Row],[Units]]&gt;300,"Medium",true,"Low")</f>
        <v>182</v>
      </c>
    </row>
    <row r="123" ht="14.0">
      <c r="B123" s="5" t="s">
        <v>156</v>
      </c>
      <c r="C123" s="1" t="s">
        <f>_xlfn.XLOOKUP(B123,A20:A119,C20:C103,"Doesn't Exist")</f>
        <v>180</v>
      </c>
      <c r="D123" s="1" t="s">
        <f t="shared" si="11"/>
        <v>48</v>
      </c>
      <c r="E123" s="1" t="s">
        <f t="shared" si="12"/>
        <v>49</v>
      </c>
      <c r="F123" s="1">
        <f>_xlfn.XLOOKUP(Table1[[#This Row],[Order_id]],A20:A119,N20:N119)</f>
        <v>895.0</v>
      </c>
      <c r="G123" s="13">
        <f t="shared" si="14"/>
        <v>44927.0</v>
      </c>
      <c r="H123" s="13">
        <f t="shared" si="15"/>
        <v>44950.0</v>
      </c>
      <c r="I123" s="14">
        <f t="shared" si="16"/>
        <v>17.0</v>
      </c>
      <c r="J123" s="2" t="s">
        <f>IF(Table1[[#This Row],[Leadtime]]&lt;14,"Late","On time ")</f>
        <v>177</v>
      </c>
      <c r="K123" s="9" t="s">
        <f>IF(Table1[[#This Row],[Units]]&gt;700,"Overstock","Appropriate")</f>
        <v>39</v>
      </c>
      <c r="L123" s="9" t="s">
        <f>IF(AND(Table1[[#This Row],[Region]]="North",Table1[[#This Row],[Units]]&gt;800,Table1[[#This Row],[Leadtime]]&gt;7),"Concern","Fine")</f>
        <v>172</v>
      </c>
      <c r="M123" s="9" t="s">
        <f>_xlfn.IFS(Table1[[#This Row],[Units]]&gt;800,"High",Table1[[#This Row],[Units]]&gt;300,"Medium",true,"Low")</f>
        <v>173</v>
      </c>
    </row>
    <row r="124" ht="14.0">
      <c r="B124" s="5" t="s">
        <v>157</v>
      </c>
      <c r="C124" s="1" t="s">
        <f>_xlfn.XLOOKUP(B124,A21:A120,C21:C103,"Doesn't Exist")</f>
        <v>180</v>
      </c>
      <c r="D124" s="1" t="s">
        <f t="shared" si="11"/>
        <v>48</v>
      </c>
      <c r="E124" s="1" t="s">
        <f t="shared" si="12"/>
        <v>49</v>
      </c>
      <c r="F124" s="1">
        <f>_xlfn.XLOOKUP(Table1[[#This Row],[Order_id]],A21:A120,N21:N120)</f>
        <v>926.0</v>
      </c>
      <c r="G124" s="13">
        <f t="shared" si="14"/>
        <v>44992.0</v>
      </c>
      <c r="H124" s="13">
        <f t="shared" si="15"/>
        <v>45006.0</v>
      </c>
      <c r="I124" s="14">
        <f t="shared" si="16"/>
        <v>11.0</v>
      </c>
      <c r="J124" s="2" t="s">
        <f>IF(Table1[[#This Row],[Leadtime]]&lt;14,"Late","On time ")</f>
        <v>43</v>
      </c>
      <c r="K124" s="9" t="s">
        <f>IF(Table1[[#This Row],[Units]]&gt;700,"Overstock","Appropriate")</f>
        <v>39</v>
      </c>
      <c r="L124" s="9" t="s">
        <f>IF(AND(Table1[[#This Row],[Region]]="North",Table1[[#This Row],[Units]]&gt;800,Table1[[#This Row],[Leadtime]]&gt;7),"Concern","Fine")</f>
        <v>172</v>
      </c>
      <c r="M124" s="9" t="s">
        <f>_xlfn.IFS(Table1[[#This Row],[Units]]&gt;800,"High",Table1[[#This Row],[Units]]&gt;300,"Medium",true,"Low")</f>
        <v>173</v>
      </c>
    </row>
    <row r="125" ht="14.0">
      <c r="B125" s="5" t="s">
        <v>158</v>
      </c>
      <c r="C125" s="1" t="s">
        <f>_xlfn.XLOOKUP(B125,A22:A121,C22:C103,"Doesn't Exist")</f>
        <v>180</v>
      </c>
      <c r="D125" s="1" t="s">
        <f t="shared" si="11"/>
        <v>32</v>
      </c>
      <c r="E125" s="1" t="s">
        <f t="shared" si="12"/>
        <v>33</v>
      </c>
      <c r="F125" s="1">
        <f>_xlfn.XLOOKUP(Table1[[#This Row],[Order_id]],A22:A121,N22:N121)</f>
        <v>985.0</v>
      </c>
      <c r="G125" s="13">
        <f t="shared" si="14"/>
        <v>45211.0</v>
      </c>
      <c r="H125" s="13">
        <f t="shared" si="15"/>
        <v>45228.0</v>
      </c>
      <c r="I125" s="14">
        <f t="shared" si="16"/>
        <v>12.0</v>
      </c>
      <c r="J125" s="2" t="s">
        <f>IF(Table1[[#This Row],[Leadtime]]&lt;14,"Late","On time ")</f>
        <v>43</v>
      </c>
      <c r="K125" s="9" t="s">
        <f>IF(Table1[[#This Row],[Units]]&gt;700,"Overstock","Appropriate")</f>
        <v>39</v>
      </c>
      <c r="L125" s="9" t="s">
        <f>IF(AND(Table1[[#This Row],[Region]]="North",Table1[[#This Row],[Units]]&gt;800,Table1[[#This Row],[Leadtime]]&gt;7),"Concern","Fine")</f>
        <v>178</v>
      </c>
      <c r="M125" s="9" t="s">
        <f>_xlfn.IFS(Table1[[#This Row],[Units]]&gt;800,"High",Table1[[#This Row],[Units]]&gt;300,"Medium",true,"Low")</f>
        <v>173</v>
      </c>
    </row>
    <row r="126" ht="14.0">
      <c r="B126" s="5" t="s">
        <v>159</v>
      </c>
      <c r="C126" s="1" t="s">
        <f>_xlfn.XLOOKUP(B126,A23:A122,C23:C103,"Doesn't Exist")</f>
        <v>180</v>
      </c>
      <c r="D126" s="1" t="s">
        <f t="shared" si="11"/>
        <v>63</v>
      </c>
      <c r="E126" s="1" t="s">
        <f t="shared" si="12"/>
        <v>64</v>
      </c>
      <c r="F126" s="1">
        <f>_xlfn.XLOOKUP(Table1[[#This Row],[Order_id]],A23:A122,N23:N122)</f>
        <v>529.0</v>
      </c>
      <c r="G126" s="13">
        <f t="shared" si="14"/>
        <v>45147.0</v>
      </c>
      <c r="H126" s="13">
        <f t="shared" si="15"/>
        <v>45166.0</v>
      </c>
      <c r="I126" s="14">
        <f t="shared" si="16"/>
        <v>14.0</v>
      </c>
      <c r="J126" s="2" t="s">
        <f>IF(Table1[[#This Row],[Leadtime]]&lt;14,"Late","On time ")</f>
        <v>177</v>
      </c>
      <c r="K126" s="9" t="s">
        <f>IF(Table1[[#This Row],[Units]]&gt;700,"Overstock","Appropriate")</f>
        <v>181</v>
      </c>
      <c r="L126" s="9" t="s">
        <f>IF(AND(Table1[[#This Row],[Region]]="North",Table1[[#This Row],[Units]]&gt;800,Table1[[#This Row],[Leadtime]]&gt;7),"Concern","Fine")</f>
        <v>172</v>
      </c>
      <c r="M126" s="9" t="s">
        <f>_xlfn.IFS(Table1[[#This Row],[Units]]&gt;800,"High",Table1[[#This Row],[Units]]&gt;300,"Medium",true,"Low")</f>
        <v>182</v>
      </c>
    </row>
    <row r="127" ht="14.0" customFormat="1" s="9">
      <c r="A127" s="1"/>
      <c r="B127" s="5" t="s">
        <v>160</v>
      </c>
      <c r="C127" s="1" t="s">
        <f>_xlfn.XLOOKUP(B127,A24:A123,C24:C103,"Doesn't Exist")</f>
        <v>180</v>
      </c>
      <c r="D127" s="1" t="s">
        <f t="shared" si="11"/>
        <v>63</v>
      </c>
      <c r="E127" s="1" t="s">
        <f t="shared" si="12"/>
        <v>64</v>
      </c>
      <c r="F127" s="1">
        <f>_xlfn.XLOOKUP(Table1[[#This Row],[Order_id]],A24:A123,N24:N123)</f>
        <v>750.0</v>
      </c>
      <c r="G127" s="13">
        <f t="shared" si="14"/>
        <v>44971.0</v>
      </c>
      <c r="H127" s="13">
        <f t="shared" si="15"/>
        <v>44986.0</v>
      </c>
      <c r="I127" s="14">
        <f t="shared" si="16"/>
        <v>12.0</v>
      </c>
      <c r="J127" s="2" t="s">
        <f>IF(Table1[[#This Row],[Leadtime]]&lt;14,"Late","On time ")</f>
        <v>43</v>
      </c>
      <c r="K127" s="9" t="s">
        <f>IF(Table1[[#This Row],[Units]]&gt;700,"Overstock","Appropriate")</f>
        <v>39</v>
      </c>
      <c r="L127" s="9" t="s">
        <f>IF(AND(Table1[[#This Row],[Region]]="North",Table1[[#This Row],[Units]]&gt;800,Table1[[#This Row],[Leadtime]]&gt;7),"Concern","Fine")</f>
        <v>172</v>
      </c>
      <c r="M127" s="9" t="s">
        <f>_xlfn.IFS(Table1[[#This Row],[Units]]&gt;800,"High",Table1[[#This Row],[Units]]&gt;300,"Medium",true,"Low")</f>
        <v>182</v>
      </c>
    </row>
    <row r="128" ht="14.0" customFormat="1" s="9">
      <c r="B128" s="5" t="s">
        <v>161</v>
      </c>
      <c r="C128" s="1" t="s">
        <f>_xlfn.XLOOKUP(B128,A25:A124,C25:C103,"Doesn't Exist")</f>
        <v>180</v>
      </c>
      <c r="D128" s="1" t="s">
        <f t="shared" si="11"/>
        <v>32</v>
      </c>
      <c r="E128" s="1" t="s">
        <f t="shared" si="12"/>
        <v>33</v>
      </c>
      <c r="F128" s="1">
        <f>_xlfn.XLOOKUP(Table1[[#This Row],[Order_id]],A25:A124,N25:N124)</f>
        <v>897.0</v>
      </c>
      <c r="G128" s="13">
        <f t="shared" si="14"/>
        <v>45916.0</v>
      </c>
      <c r="H128" s="13">
        <f t="shared" si="15"/>
        <v>45934.0</v>
      </c>
      <c r="I128" s="14">
        <f t="shared" si="16"/>
        <v>14.0</v>
      </c>
      <c r="J128" s="2" t="s">
        <f>IF(Table1[[#This Row],[Leadtime]]&lt;14,"Late","On time ")</f>
        <v>177</v>
      </c>
      <c r="K128" s="1" t="s">
        <f>IF(Table1[[#This Row],[Units]]&gt;700,"Overstock","Appropriate")</f>
        <v>39</v>
      </c>
      <c r="L128" s="9" t="s">
        <f>IF(AND(Table1[[#This Row],[Region]]="North",Table1[[#This Row],[Units]]&gt;800,Table1[[#This Row],[Leadtime]]&gt;7),"Concern","Fine")</f>
        <v>178</v>
      </c>
      <c r="M128" s="1" t="s">
        <f>_xlfn.IFS(Table1[[#This Row],[Units]]&gt;800,"High",Table1[[#This Row],[Units]]&gt;300,"Medium",true,"Low")</f>
        <v>173</v>
      </c>
    </row>
    <row r="129" customFormat="1" s="9">
      <c r="A129" s="1"/>
      <c r="N129" s="1"/>
    </row>
    <row r="130" customFormat="1" s="9">
      <c r="A130" s="1"/>
      <c r="N130" s="1"/>
    </row>
    <row r="131" customFormat="1" s="9">
      <c r="A131" s="1"/>
      <c r="N131" s="1"/>
    </row>
    <row r="132" customFormat="1" s="9">
      <c r="A132" s="1"/>
      <c r="N132" s="1"/>
    </row>
    <row r="133" customFormat="1" s="9">
      <c r="A133" s="1"/>
      <c r="N133" s="1"/>
    </row>
    <row r="134" customFormat="1" s="9">
      <c r="A134" s="1"/>
      <c r="N134" s="1"/>
    </row>
    <row r="135" customFormat="1" s="9">
      <c r="A135" s="1"/>
      <c r="N135" s="1"/>
    </row>
    <row r="136" customFormat="1" s="9">
      <c r="A136" s="1"/>
      <c r="N136" s="1"/>
    </row>
    <row r="137" customFormat="1" s="9">
      <c r="A137" s="1"/>
      <c r="B137" s="1"/>
      <c r="C137" s="1"/>
      <c r="D137" s="1"/>
      <c r="E137" s="1"/>
      <c r="F137" s="1"/>
      <c r="G137" s="1"/>
      <c r="H137" s="2"/>
      <c r="I137" s="2"/>
      <c r="J137" s="1"/>
      <c r="K137" s="1"/>
      <c r="L137" s="1"/>
      <c r="M137" s="1"/>
      <c r="N137" s="1"/>
    </row>
    <row r="138" customFormat="1" s="9">
      <c r="A138" s="1"/>
      <c r="N138" s="1"/>
    </row>
    <row r="139" customFormat="1" s="9">
      <c r="A139" s="1"/>
      <c r="N139" s="1"/>
    </row>
    <row r="140" customFormat="1" s="9">
      <c r="A140" s="1"/>
      <c r="N140" s="1"/>
    </row>
    <row r="141" customFormat="1" s="9">
      <c r="A141" s="1"/>
      <c r="N141" s="1"/>
    </row>
    <row r="142" customFormat="1" s="9">
      <c r="A142" s="1"/>
      <c r="N142" s="1"/>
    </row>
    <row r="143" customFormat="1" s="9">
      <c r="A143" s="1"/>
      <c r="N143" s="1"/>
    </row>
    <row r="144" customFormat="1" s="9">
      <c r="A144" s="1"/>
      <c r="N144" s="1"/>
    </row>
    <row r="145" customFormat="1" s="9">
      <c r="A145" s="1"/>
      <c r="N145" s="1"/>
    </row>
    <row r="146" customFormat="1" s="9">
      <c r="A146" s="1"/>
      <c r="N146" s="1"/>
    </row>
    <row r="147" customFormat="1" s="9">
      <c r="A147" s="1"/>
      <c r="N147" s="1"/>
    </row>
    <row r="148" customFormat="1" s="9">
      <c r="A148" s="1"/>
      <c r="N148" s="1"/>
    </row>
    <row r="149" customFormat="1" s="9">
      <c r="A149" s="1"/>
      <c r="N149" s="1"/>
    </row>
    <row r="150" customFormat="1" s="9">
      <c r="A150" s="1"/>
      <c r="N150" s="1"/>
    </row>
    <row r="151" customFormat="1" s="9">
      <c r="A151" s="1"/>
      <c r="N151" s="1"/>
    </row>
    <row r="152">
      <c r="B152" s="1"/>
      <c r="C152" s="1"/>
      <c r="D152" s="1"/>
      <c r="E152" s="1"/>
      <c r="F152" s="1"/>
      <c r="G152" s="1"/>
      <c r="J152" s="1"/>
      <c r="K152" s="1"/>
      <c r="L152" s="1"/>
      <c r="M152" s="1"/>
    </row>
  </sheetData>
  <conditionalFormatting sqref="Q2:Q101">
    <cfRule dxfId="0" operator="containsText" type="containsText" priority="8" text="Late">
      <formula>NOT(ISERROR(SEARCH("Late",Q2)))</formula>
    </cfRule>
  </conditionalFormatting>
  <conditionalFormatting sqref="R2:R101">
    <cfRule dxfId="1" operator="containsText" type="containsText" priority="9" text="Overstock">
      <formula>NOT(ISERROR(SEARCH("Overstock",R2)))</formula>
    </cfRule>
  </conditionalFormatting>
  <tableParts count="3">
    <tablePart r:id="rId1"/>
    <tablePart r:id="rId2"/>
    <tablePart r:id="rId3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2026-04-16T11:18:33Z</dcterms:created>
</cp:coreProperties>
</file>